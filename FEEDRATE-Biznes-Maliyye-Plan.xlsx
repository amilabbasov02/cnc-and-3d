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tch Deck (15 slayd)" sheetId="1" state="visible" r:id="rId1"/>
    <sheet xmlns:r="http://schemas.openxmlformats.org/officeDocument/2006/relationships" name="Komanda &amp; Rollar" sheetId="2" state="visible" r:id="rId2"/>
    <sheet xmlns:r="http://schemas.openxmlformats.org/officeDocument/2006/relationships" name="Aylıq İş Planı" sheetId="3" state="visible" r:id="rId3"/>
    <sheet xmlns:r="http://schemas.openxmlformats.org/officeDocument/2006/relationships" name="Kompüter &amp; Avadanlıq" sheetId="4" state="visible" r:id="rId4"/>
    <sheet xmlns:r="http://schemas.openxmlformats.org/officeDocument/2006/relationships" name="Fərziyyələr" sheetId="5" state="visible" r:id="rId5"/>
    <sheet xmlns:r="http://schemas.openxmlformats.org/officeDocument/2006/relationships" name="36 Aylıq Maliyyə" sheetId="6" state="visible" r:id="rId6"/>
    <sheet xmlns:r="http://schemas.openxmlformats.org/officeDocument/2006/relationships" name="İllik Xülasə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D0E10"/>
      <sz val="13"/>
    </font>
    <font>
      <b val="1"/>
      <color rgb="00FFFFFF"/>
      <sz val="10"/>
    </font>
    <font>
      <b val="1"/>
      <color rgb="00C98A06"/>
      <sz val="12"/>
    </font>
    <font>
      <b val="1"/>
      <sz val="11"/>
    </font>
    <font>
      <b val="1"/>
    </font>
    <font>
      <b val="1"/>
      <i val="1"/>
    </font>
    <font/>
  </fonts>
  <fills count="7">
    <fill>
      <patternFill/>
    </fill>
    <fill>
      <patternFill patternType="gray125"/>
    </fill>
    <fill>
      <patternFill patternType="solid">
        <fgColor rgb="00FFB300"/>
      </patternFill>
    </fill>
    <fill>
      <patternFill patternType="solid">
        <fgColor rgb="0015171A"/>
      </patternFill>
    </fill>
    <fill>
      <patternFill patternType="solid">
        <fgColor rgb="00EEF1F4"/>
      </patternFill>
    </fill>
    <fill>
      <patternFill patternType="solid">
        <fgColor rgb="00C9F2D8"/>
      </patternFill>
    </fill>
    <fill>
      <patternFill patternType="solid">
        <fgColor rgb="00D6E6FF"/>
      </patternFill>
    </fill>
  </fills>
  <borders count="2">
    <border>
      <left/>
      <right/>
      <top/>
      <bottom/>
      <diagonal/>
    </border>
    <border>
      <left style="thin">
        <color rgb="00C9CDD2"/>
      </left>
      <right style="thin">
        <color rgb="00C9CDD2"/>
      </right>
      <top style="thin">
        <color rgb="00C9CDD2"/>
      </top>
      <bottom style="thin">
        <color rgb="00C9CDD2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5" fillId="0" borderId="1" pivotButton="0" quotePrefix="0" xfId="0"/>
    <xf numFmtId="3" fontId="0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3" fontId="5" fillId="5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0" fillId="0" borderId="1" pivotButton="0" quotePrefix="0" xfId="0"/>
    <xf numFmtId="3" fontId="5" fillId="5" borderId="1" pivotButton="0" quotePrefix="0" xfId="0"/>
    <xf numFmtId="3" fontId="5" fillId="4" borderId="1" pivotButton="0" quotePrefix="0" xfId="0"/>
    <xf numFmtId="1" fontId="5" fillId="2" borderId="1" applyAlignment="1" pivotButton="0" quotePrefix="0" xfId="0">
      <alignment horizontal="center" vertical="center" wrapText="1"/>
    </xf>
    <xf numFmtId="9" fontId="5" fillId="2" borderId="1" applyAlignment="1" pivotButton="0" quotePrefix="0" xfId="0">
      <alignment horizontal="center" vertical="center" wrapText="1"/>
    </xf>
    <xf numFmtId="3" fontId="0" fillId="0" borderId="1" pivotButton="0" quotePrefix="0" xfId="0"/>
    <xf numFmtId="3" fontId="5" fillId="0" borderId="1" pivotButton="0" quotePrefix="0" xfId="0"/>
    <xf numFmtId="1" fontId="0" fillId="0" borderId="1" applyAlignment="1" pivotButton="0" quotePrefix="0" xfId="0">
      <alignment horizontal="center" vertical="center" wrapText="1"/>
    </xf>
    <xf numFmtId="3" fontId="5" fillId="2" borderId="1" pivotButton="0" quotePrefix="0" xfId="0"/>
    <xf numFmtId="3" fontId="5" fillId="4" borderId="1" applyAlignment="1" pivotButton="0" quotePrefix="0" xfId="0">
      <alignment horizontal="center" vertical="center" wrapText="1"/>
    </xf>
    <xf numFmtId="0" fontId="7" fillId="0" borderId="1" pivotButton="0" quotePrefix="0" xfId="0"/>
    <xf numFmtId="3" fontId="5" fillId="0" borderId="1" applyAlignment="1" pivotButton="0" quotePrefix="0" xfId="0">
      <alignment horizontal="center" vertical="center" wrapText="1"/>
    </xf>
    <xf numFmtId="3" fontId="5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F8D4D4"/>
        </patternFill>
      </fill>
    </dxf>
    <dxf>
      <fill>
        <patternFill patternType="solid">
          <fgColor rgb="00C9F2D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95" customWidth="1" min="3" max="3"/>
  </cols>
  <sheetData>
    <row r="1" ht="26" customHeight="1">
      <c r="A1" s="1" t="inlineStr">
        <is>
          <t>FEEDRATE — İnvestor Pitch (15 slayd)</t>
        </is>
      </c>
    </row>
    <row r="2"/>
    <row r="3">
      <c r="A3" s="2" t="inlineStr">
        <is>
          <t>#</t>
        </is>
      </c>
      <c r="B3" s="2" t="inlineStr">
        <is>
          <t>Slayd</t>
        </is>
      </c>
      <c r="C3" s="2" t="inlineStr">
        <is>
          <t>Məzmun (danışıq tezisləri)</t>
        </is>
      </c>
    </row>
    <row r="4" ht="60" customHeight="1">
      <c r="A4" s="3" t="inlineStr">
        <is>
          <t>1</t>
        </is>
      </c>
      <c r="B4" s="4" t="inlineStr">
        <is>
          <t>Başlıq &amp; Vizyon</t>
        </is>
      </c>
      <c r="C4" s="5" t="inlineStr">
        <is>
          <t>FEEDRATE — CNC frezeleme və 3D-çap üçün ANINDA qiymət mühərriki + brauzer CAD + dizayn marketplace.
Vizyon: qlobal self-serve platforma — istifadəçi modeli seçir/qurur, saniyələrlə qiymət alır, dizaynını satır.
Slogan: «Fayldan qiymətə 10 saniyə.»</t>
        </is>
      </c>
    </row>
    <row r="5" ht="60" customHeight="1">
      <c r="A5" s="3" t="inlineStr">
        <is>
          <t>2</t>
        </is>
      </c>
      <c r="B5" s="4" t="inlineStr">
        <is>
          <t>Problem</t>
        </is>
      </c>
      <c r="C5" s="5" t="inlineStr">
        <is>
          <t>• CNC/3D sifarişdə qiymət almaq günlər çəkir — email, gözləmə, geriyə-irəli yazışma.
• Kiçik müştəri/mühəndis peşəkar CAD (SolidWorks/Fusion) almaq və öyrənmək istəmir.
• Hazır parametrik model tapmaq və ölçüyə uyğunlaşdırmaq çətindir.
• Dizaynerlərin sadə detalları satacağı sahə-spesifik bazar yoxdur.</t>
        </is>
      </c>
    </row>
    <row r="6" ht="60" customHeight="1">
      <c r="A6" s="3" t="inlineStr">
        <is>
          <t>3</t>
        </is>
      </c>
      <c r="B6" s="4" t="inlineStr">
        <is>
          <t>Həll</t>
        </is>
      </c>
      <c r="C6" s="5" t="inlineStr">
        <is>
          <t>Tək platformada 3 modul:
1) 3D model kitabxanası → seç → ölçü qoy → anında qiymət.
2) Brauzer CAD redaktoru (Three.js + CSG) — quraşdırma yoxdur, anlıq qiymət.
3) Dizayn marketplace — dizayneri sat, biz komissiya alırıq.</t>
        </is>
      </c>
    </row>
    <row r="7" ht="60" customHeight="1">
      <c r="A7" s="3" t="inlineStr">
        <is>
          <t>4</t>
        </is>
      </c>
      <c r="B7" s="4" t="inlineStr">
        <is>
          <t>Məhsul necə işləyir</t>
        </is>
      </c>
      <c r="C7" s="5" t="inlineStr">
        <is>
          <t>Anonim 1 pulsuz qiymət → qeydiyyat divarı → pulsuz hesab (5/ay) → limit → ödənişli paket.
CAD-da model qur → STL/OBJ export → anlıq qiymət. Dizaynı listing kimi sat → Stripe → payout.
Başlanğıcda supplier YOXDUR — yalnız software + komissiya geliri (aşağı risk).</t>
        </is>
      </c>
    </row>
    <row r="8" ht="60" customHeight="1">
      <c r="A8" s="3" t="inlineStr">
        <is>
          <t>5</t>
        </is>
      </c>
      <c r="B8" s="4" t="inlineStr">
        <is>
          <t>Bazar</t>
        </is>
      </c>
      <c r="C8" s="5" t="inlineStr">
        <is>
          <t>TAM: qlobal rəqəmsal istehsal / on-demand manufacturing — onlarla milyard $.
SAM: self-serve instant-quote + onlayn CAD istifadəçiləri (mühəndis, startap, hobbi, kiçik istehsal).
SOM (3 il): aylıq 80K+ ziyarətçi, minlərlə pulsuz, yüzlərlə ödənişli istifadəçi.
Trend: distributed manufacturing, 3D-print bumu, no-code/brauzer alətləri.</t>
        </is>
      </c>
    </row>
    <row r="9" ht="60" customHeight="1">
      <c r="A9" s="3" t="inlineStr">
        <is>
          <t>6</t>
        </is>
      </c>
      <c r="B9" s="4" t="inlineStr">
        <is>
          <t>Biznes modeli — 2 gəlir mənbəyi</t>
        </is>
      </c>
      <c r="C9" s="5" t="inlineStr">
        <is>
          <t>A) ABUNƏ (SaaS): istifadəçi → biz, 100% bizim (yalnız ~3% Stripe haqqı).
B) MARKETPLACE KOMİSSİYASI: alıcı → satıcı, bizə yalnız 5–10% (təxminən 8%).
Nümunə: $20 dizayn satışı → ~$1.6 bizim, $18.4 satıcıya. Abunədə isə tam məbləğ bizim.
İki ayrı axın = davamlı MRR + həcmlə böyüyən komissiya.</t>
        </is>
      </c>
    </row>
    <row r="10" ht="70" customHeight="1">
      <c r="A10" s="3" t="inlineStr">
        <is>
          <t>7</t>
        </is>
      </c>
      <c r="B10" s="4" t="inlineStr">
        <is>
          <t>Qiymət paketləri</t>
        </is>
      </c>
      <c r="C10" s="5" t="inlineStr">
        <is>
          <t>Free $0 — 5 hesablama/5 yükləmə ay, məhdud CAD, komissiya 10%.
Starter $9 — 50 hesablama/25 yükləmə, tam CAD, komissiya 8%.
Pro $29 — limitsiz hesablama/100 yükləmə, brendli PDF, komissiya 7%.
Business $99 — limitsiz, API/komanda, komissiya 5%.
Blended ARPU ~$22/ay (model fərziyyəsi).</t>
        </is>
      </c>
    </row>
    <row r="11" ht="60" customHeight="1">
      <c r="A11" s="3" t="inlineStr">
        <is>
          <t>8</t>
        </is>
      </c>
      <c r="B11" s="4" t="inlineStr">
        <is>
          <t>Marketplace</t>
        </is>
      </c>
      <c r="C11" s="5" t="inlineStr">
        <is>
          <t>Listing (ad, qiymət, lisenziya, fayl) → alış (Stripe) → çatdırılma → komissiya + payout (Stripe Connect).
Moderasiya + müəllif hüququ takedown prosesi.
Aşağı komissiya çox satıcı cəlb edir → tələb artanda komissiya qaldırıla bilər (pricing power).</t>
        </is>
      </c>
    </row>
    <row r="12" ht="60" customHeight="1">
      <c r="A12" s="3" t="inlineStr">
        <is>
          <t>9</t>
        </is>
      </c>
      <c r="B12" s="4" t="inlineStr">
        <is>
          <t>Texnologiya / arxitektura</t>
        </is>
      </c>
      <c r="C12" s="5" t="inlineStr">
        <is>
          <t>Frontend: Next.js + React + Three.js. Auth: Auth.js (email + təsdiq).
Backend: Next.js route handlers. DB: PostgreSQL (Neon/Supabase) + Prisma. Saxlama: S3/Cloudflare R2.
Ödəniş: Stripe (Subscriptions + Connect). CAD nüvə: three + three-bvh-csg (client-side, ucuz infra).
Client-side CAD = server xərci minimal, miqyaslana bilən memarlıq.</t>
        </is>
      </c>
    </row>
    <row r="13" ht="60" customHeight="1">
      <c r="A13" s="3" t="inlineStr">
        <is>
          <t>10</t>
        </is>
      </c>
      <c r="B13" s="4" t="inlineStr">
        <is>
          <t>Rəqabət / fərqlənmə</t>
        </is>
      </c>
      <c r="C13" s="5" t="inlineStr">
        <is>
          <t>Rəqiblər: Xometry/Protolabs (instant-quote, lakin ağır B2B, supplier-ağır), Thangs/Thingiverse (model, qiymət yox),
Onshape/Tinkercad (CAD, qiymət+marketplace yox).
Bizim fərq: QİYMƏT + BRAUZER CAD + MARKETPLACE bir yerdə, self-serve, supplier-siz başlanğıc, qlobal.</t>
        </is>
      </c>
    </row>
    <row r="14" ht="60" customHeight="1">
      <c r="A14" s="3" t="inlineStr">
        <is>
          <t>11</t>
        </is>
      </c>
      <c r="B14" s="4" t="inlineStr">
        <is>
          <t>Traksiya &amp; yol xəritəsi</t>
        </is>
      </c>
      <c r="C14" s="5" t="inlineStr">
        <is>
          <t>Faza 1: Auth+DB+limit+mövcud quote/3D. Faza 2: lisenziyalı model qaleriyası + parametrik ölçü.
Faza 3: Stripe + paketlər. Faza 4: CAD MVP (three-bvh-csg). Faza 5: Marketplace + payout.
Mövcud: işlək HTML prototip + Next.js skeleti (cnc-quote-pro). 90 günlük validasiya planı hazırdır.</t>
        </is>
      </c>
    </row>
    <row r="15" ht="60" customHeight="1">
      <c r="A15" s="3" t="inlineStr">
        <is>
          <t>12</t>
        </is>
      </c>
      <c r="B15" s="4" t="inlineStr">
        <is>
          <t>Get-to-market / marketinq</t>
        </is>
      </c>
      <c r="C15" s="5" t="inlineStr">
        <is>
          <t>• SEO + content (CNC/3D-print qiymət açar sözləri) — anonim 1 pulsuz qiymət = viral giriş.
• Reddit/Discord/YouTube maker icmaları, mühəndis forumları.
• Marketplace satıcıları öz auditoriyasını gətirir (two-sided böyümə).
• Marketinq büdcəsi: gəlirin ~20%-i (min. aylıq baza), CAC/LTV izlənir.</t>
        </is>
      </c>
    </row>
    <row r="16" ht="60" customHeight="1">
      <c r="A16" s="3" t="inlineStr">
        <is>
          <t>13</t>
        </is>
      </c>
      <c r="B16" s="4" t="inlineStr">
        <is>
          <t>Komanda</t>
        </is>
      </c>
      <c r="C16" s="5" t="inlineStr">
        <is>
          <t>Başlanğıc nüvə: CEO/Təsisçi + CTO/Lead CAD developer. Ardınca: Frontend, Backend, UI/UX, Marketinq, Financist,
3D kontent, Müştəri dəstəyi, Sales — fazalı işə qəbul (bax «Komanda &amp; Rollar» vərəqi).
3 ilin sonunda ~10–11 nəfərlik komanda. Remote-first, Azərbaycan bazlı.</t>
        </is>
      </c>
    </row>
    <row r="17" ht="60" customHeight="1">
      <c r="A17" s="3" t="inlineStr">
        <is>
          <t>14</t>
        </is>
      </c>
      <c r="B17" s="4" t="inlineStr">
        <is>
          <t>Maliyyə proqnozu (36 ay)</t>
        </is>
      </c>
      <c r="C17" s="5" t="inlineStr">
        <is>
          <t>Bax «36 Aylıq Maliyyə» və «İllik Xülasə» vərəqləri — canlı düsturlu model.
Üç ssenari: Konservativ / Orta / Optimist. Açar fərziyyələr «Fərziyyələr» vərəqində — dəyişəndə hər şey yenidən hesablanır.
Göstərilir: MRR, ümumi gəlir, xərc strukturu, net nəticə, yığılmış kassa (runway).</t>
        </is>
      </c>
    </row>
    <row r="18" ht="60" customHeight="1">
      <c r="A18" s="3" t="inlineStr">
        <is>
          <t>15</t>
        </is>
      </c>
      <c r="B18" s="4" t="inlineStr">
        <is>
          <t>İnvestisiya tələbi / Ask</t>
        </is>
      </c>
      <c r="C18" s="5" t="inlineStr">
        <is>
          <t>Tələb: seed investisiya (başlanğıc kapital «Fərziyyələr»!B18-də dəyişdirilə bilər) — 18–24 ay runway.
İstifadə: komanda (~60%), məhsul/infra (~15%), marketinq (~20%), inzibati (~5%).
Çıxış/qayıdış: SaaS MRR + marketplace GMV böyüməsi.
Əlaqə: Kayzen · support@kayzen.az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40" customWidth="1" min="4" max="4"/>
    <col width="14" customWidth="1" min="5" max="5"/>
    <col width="12" customWidth="1" min="6" max="6"/>
  </cols>
  <sheetData>
    <row r="1" ht="26" customHeight="1">
      <c r="A1" s="1" t="inlineStr">
        <is>
          <t>KOMANDA, ROLLAR və MAAŞLAR (aylıq brüt, USD)</t>
        </is>
      </c>
    </row>
    <row r="2">
      <c r="A2" s="2" t="inlineStr">
        <is>
          <t>#</t>
        </is>
      </c>
      <c r="B2" s="2" t="inlineStr">
        <is>
          <t>Rol / Vəzifə</t>
        </is>
      </c>
      <c r="C2" s="2" t="inlineStr">
        <is>
          <t>Başlama (ay)</t>
        </is>
      </c>
      <c r="D2" s="2" t="inlineStr">
        <is>
          <t>Əsas məsuliyyət — kim nə edir</t>
        </is>
      </c>
      <c r="E2" s="2" t="inlineStr">
        <is>
          <t>Aylıq maaş $</t>
        </is>
      </c>
      <c r="F2" s="2" t="inlineStr">
        <is>
          <t>Tip</t>
        </is>
      </c>
    </row>
    <row r="3" ht="30" customHeight="1">
      <c r="A3" s="6" t="n">
        <v>1</v>
      </c>
      <c r="B3" s="7" t="inlineStr">
        <is>
          <t>CEO / Təsisçi</t>
        </is>
      </c>
      <c r="C3" s="6" t="inlineStr">
        <is>
          <t>Ay 1</t>
        </is>
      </c>
      <c r="D3" s="5" t="inlineStr">
        <is>
          <t>Strategiya, investor, partnyorluq, ümumi idarəetmə, məhsul vizyonu</t>
        </is>
      </c>
      <c r="E3" s="8" t="n">
        <v>1500</v>
      </c>
      <c r="F3" s="6" t="inlineStr">
        <is>
          <t>Tam</t>
        </is>
      </c>
    </row>
    <row r="4" ht="30" customHeight="1">
      <c r="A4" s="6" t="n">
        <v>2</v>
      </c>
      <c r="B4" s="7" t="inlineStr">
        <is>
          <t>CTO / Lead CAD developer</t>
        </is>
      </c>
      <c r="C4" s="6" t="inlineStr">
        <is>
          <t>Ay 1</t>
        </is>
      </c>
      <c r="D4" s="5" t="inlineStr">
        <is>
          <t>Brauzer CAD (Three.js+CSG), arxitektura, qiymət mühərriki, kod nəzarəti</t>
        </is>
      </c>
      <c r="E4" s="8" t="n">
        <v>2500</v>
      </c>
      <c r="F4" s="6" t="inlineStr">
        <is>
          <t>Tam</t>
        </is>
      </c>
    </row>
    <row r="5" ht="30" customHeight="1">
      <c r="A5" s="6" t="n">
        <v>3</v>
      </c>
      <c r="B5" s="7" t="inlineStr">
        <is>
          <t>Frontend developer</t>
        </is>
      </c>
      <c r="C5" s="6" t="inlineStr">
        <is>
          <t>Ay 2</t>
        </is>
      </c>
      <c r="D5" s="5" t="inlineStr">
        <is>
          <t>UI, qaleriya, redaktor interfeysi, paket/limit ekranları, responsiv</t>
        </is>
      </c>
      <c r="E5" s="8" t="n">
        <v>1500</v>
      </c>
      <c r="F5" s="6" t="inlineStr">
        <is>
          <t>Tam</t>
        </is>
      </c>
    </row>
    <row r="6" ht="30" customHeight="1">
      <c r="A6" s="6" t="n">
        <v>4</v>
      </c>
      <c r="B6" s="7" t="inlineStr">
        <is>
          <t>UI/UX designer</t>
        </is>
      </c>
      <c r="C6" s="6" t="inlineStr">
        <is>
          <t>Ay 4</t>
        </is>
      </c>
      <c r="D6" s="5" t="inlineStr">
        <is>
          <t>Dizayn sistemi, istifadəçi axını, marketplace UX, brendli PDF şablon</t>
        </is>
      </c>
      <c r="E6" s="8" t="n">
        <v>1200</v>
      </c>
      <c r="F6" s="6" t="inlineStr">
        <is>
          <t>Tam</t>
        </is>
      </c>
    </row>
    <row r="7" ht="30" customHeight="1">
      <c r="A7" s="6" t="n">
        <v>5</v>
      </c>
      <c r="B7" s="7" t="inlineStr">
        <is>
          <t>Backend developer</t>
        </is>
      </c>
      <c r="C7" s="6" t="inlineStr">
        <is>
          <t>Ay 5</t>
        </is>
      </c>
      <c r="D7" s="5" t="inlineStr">
        <is>
          <t>Auth, DB (Postgres/Prisma), limit/anti-abuse, Stripe, payout, API</t>
        </is>
      </c>
      <c r="E7" s="8" t="n">
        <v>1800</v>
      </c>
      <c r="F7" s="6" t="inlineStr">
        <is>
          <t>Tam</t>
        </is>
      </c>
    </row>
    <row r="8" ht="30" customHeight="1">
      <c r="A8" s="6" t="n">
        <v>6</v>
      </c>
      <c r="B8" s="7" t="inlineStr">
        <is>
          <t>Marketinq / Growth</t>
        </is>
      </c>
      <c r="C8" s="6" t="inlineStr">
        <is>
          <t>Ay 7</t>
        </is>
      </c>
      <c r="D8" s="5" t="inlineStr">
        <is>
          <t>SEO, kontent, icma, reklam, CAC/LTV, konversiya optimallaşdırma</t>
        </is>
      </c>
      <c r="E8" s="8" t="n">
        <v>1500</v>
      </c>
      <c r="F8" s="6" t="inlineStr">
        <is>
          <t>Tam</t>
        </is>
      </c>
    </row>
    <row r="9" ht="30" customHeight="1">
      <c r="A9" s="6" t="n">
        <v>7</v>
      </c>
      <c r="B9" s="7" t="inlineStr">
        <is>
          <t>Financist / Mühasib</t>
        </is>
      </c>
      <c r="C9" s="6" t="inlineStr">
        <is>
          <t>Ay 7</t>
        </is>
      </c>
      <c r="D9" s="5" t="inlineStr">
        <is>
          <t>Büdcə, cash-flow, vergi/SSF, hesabatlar, investor maliyyə paneli</t>
        </is>
      </c>
      <c r="E9" s="8" t="n">
        <v>600</v>
      </c>
      <c r="F9" s="6" t="inlineStr">
        <is>
          <t>Part-time</t>
        </is>
      </c>
    </row>
    <row r="10" ht="30" customHeight="1">
      <c r="A10" s="6" t="n">
        <v>8</v>
      </c>
      <c r="B10" s="7" t="inlineStr">
        <is>
          <t>3D / CAD kontent mütəxəssisi</t>
        </is>
      </c>
      <c r="C10" s="6" t="inlineStr">
        <is>
          <t>Ay 10</t>
        </is>
      </c>
      <c r="D10" s="5" t="inlineStr">
        <is>
          <t>Model kitabxanası, lisenziya yoxlaması, parametrik şablonlar, moderasiya</t>
        </is>
      </c>
      <c r="E10" s="8" t="n">
        <v>900</v>
      </c>
      <c r="F10" s="6" t="inlineStr">
        <is>
          <t>Tam</t>
        </is>
      </c>
    </row>
    <row r="11" ht="30" customHeight="1">
      <c r="A11" s="6" t="n">
        <v>9</v>
      </c>
      <c r="B11" s="7" t="inlineStr">
        <is>
          <t>Müştəri dəstəyi</t>
        </is>
      </c>
      <c r="C11" s="6" t="inlineStr">
        <is>
          <t>Ay 13</t>
        </is>
      </c>
      <c r="D11" s="5" t="inlineStr">
        <is>
          <t>Dəstək, onboarding, bug triage, marketplace mübahisələri</t>
        </is>
      </c>
      <c r="E11" s="8" t="n">
        <v>800</v>
      </c>
      <c r="F11" s="6" t="inlineStr">
        <is>
          <t>Tam</t>
        </is>
      </c>
    </row>
    <row r="12" ht="30" customHeight="1">
      <c r="A12" s="6" t="n">
        <v>10</v>
      </c>
      <c r="B12" s="7" t="inlineStr">
        <is>
          <t>Frontend / QA developer #2</t>
        </is>
      </c>
      <c r="C12" s="6" t="inlineStr">
        <is>
          <t>Ay 19</t>
        </is>
      </c>
      <c r="D12" s="5" t="inlineStr">
        <is>
          <t>Yeni funksiyalar, test, keyfiyyət, performans</t>
        </is>
      </c>
      <c r="E12" s="8" t="n">
        <v>1500</v>
      </c>
      <c r="F12" s="6" t="inlineStr">
        <is>
          <t>Tam</t>
        </is>
      </c>
    </row>
    <row r="13" ht="30" customHeight="1">
      <c r="A13" s="6" t="n">
        <v>11</v>
      </c>
      <c r="B13" s="7" t="inlineStr">
        <is>
          <t>Sales / BizDev</t>
        </is>
      </c>
      <c r="C13" s="6" t="inlineStr">
        <is>
          <t>Ay 25</t>
        </is>
      </c>
      <c r="D13" s="5" t="inlineStr">
        <is>
          <t>Business paket satışı, B2B, API müştəriləri, partnyorluq</t>
        </is>
      </c>
      <c r="E13" s="8" t="n">
        <v>1500</v>
      </c>
      <c r="F13" s="6" t="inlineStr">
        <is>
          <t>Tam</t>
        </is>
      </c>
    </row>
    <row r="14">
      <c r="D14" s="9" t="inlineStr">
        <is>
          <t>Tam komanda aylıq brüt maaş (hamısı işə düşəndə):</t>
        </is>
      </c>
      <c r="E14" s="10">
        <f>SUM(E3:E13)</f>
        <v/>
      </c>
    </row>
    <row r="16">
      <c r="B16" s="11" t="inlineStr">
        <is>
          <t>Qeyd:</t>
        </is>
      </c>
      <c r="D16" s="12" t="inlineStr">
        <is>
          <t>Maaşlar Azərbaycan/remote bazarına uyğun brüt USD-dir. İşəgötürən üzərinə ~25% vergi/SSF əlavə olunur («Fərziyyələr»!B11). Faktiki maaş = brüt × 1.25.</t>
        </is>
      </c>
    </row>
  </sheetData>
  <mergeCells count="2">
    <mergeCell ref="A1:F1"/>
    <mergeCell ref="D16:F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60" customWidth="1" min="3" max="3"/>
    <col width="26" customWidth="1" min="4" max="4"/>
  </cols>
  <sheetData>
    <row r="1" ht="26" customHeight="1">
      <c r="A1" s="1" t="inlineStr">
        <is>
          <t>AYLIQ / FAZALI İŞ PLANI — KİM NƏ EDİR</t>
        </is>
      </c>
    </row>
    <row r="2">
      <c r="A2" s="2" t="inlineStr">
        <is>
          <t>Dövr</t>
        </is>
      </c>
      <c r="B2" s="2" t="inlineStr">
        <is>
          <t>Faza / Fokus</t>
        </is>
      </c>
      <c r="C2" s="2" t="inlineStr">
        <is>
          <t>Kim nə edir</t>
        </is>
      </c>
      <c r="D2" s="2" t="inlineStr">
        <is>
          <t>Çatdırılma (nəticə)</t>
        </is>
      </c>
    </row>
    <row r="3" ht="58" customHeight="1">
      <c r="A3" s="13" t="inlineStr">
        <is>
          <t>Ay 1–3</t>
        </is>
      </c>
      <c r="B3" s="14" t="inlineStr">
        <is>
          <t>Faza 1 — Təməl</t>
        </is>
      </c>
      <c r="C3" s="5" t="inlineStr">
        <is>
          <t>CEO: investor/kapital, hüquqi qeydiyyat. CTO: arxitektura + qiymət mühərriki + 3D core. Frontend: əsas UI + mövcud quote ekranı.</t>
        </is>
      </c>
      <c r="D3" s="5" t="inlineStr">
        <is>
          <t>Auth + DB + limit (anonim 1, hesab 5/ay, 1 IP=1) + işlək quote/3D</t>
        </is>
      </c>
    </row>
    <row r="4" ht="58" customHeight="1">
      <c r="A4" s="13" t="inlineStr">
        <is>
          <t>Ay 3–5</t>
        </is>
      </c>
      <c r="B4" s="14" t="inlineStr">
        <is>
          <t>Faza 2 — Kitabxana</t>
        </is>
      </c>
      <c r="C4" s="5" t="inlineStr">
        <is>
          <t>CTO+Frontend: model qaleriyası + parametrik ölçü. UI/UX: dizayn sistemi + axınlar. Backend (Ay5): DB sxemləri, anti-abuse.</t>
        </is>
      </c>
      <c r="D4" s="5" t="inlineStr">
        <is>
          <t>Lisenziyalı 3D model qaleriyası + bounding-box parametrik ölçü</t>
        </is>
      </c>
    </row>
    <row r="5" ht="58" customHeight="1">
      <c r="A5" s="13" t="inlineStr">
        <is>
          <t>Ay 5–7</t>
        </is>
      </c>
      <c r="B5" s="14" t="inlineStr">
        <is>
          <t>Faza 3 — Ödəniş</t>
        </is>
      </c>
      <c r="C5" s="5" t="inlineStr">
        <is>
          <t>Backend: Stripe Subscriptions + paket/limit məntiqi. Frontend: paket ekranları. Financist (Ay7): qiymət/maliyyə modeli, vergi.</t>
        </is>
      </c>
      <c r="D5" s="5" t="inlineStr">
        <is>
          <t>Free/Starter/Pro/Business paketləri canlı + ödəniş axını</t>
        </is>
      </c>
    </row>
    <row r="6" ht="58" customHeight="1">
      <c r="A6" s="13" t="inlineStr">
        <is>
          <t>Ay 7–10</t>
        </is>
      </c>
      <c r="B6" s="14" t="inlineStr">
        <is>
          <t>Faza 4 — CAD MVP</t>
        </is>
      </c>
      <c r="C6" s="5" t="inlineStr">
        <is>
          <t>CTO: three-bvh-csg redaktor (primitivlər, boolean, extrude, undo/redo, export). Marketinq (Ay7): SEO+launch. Frontend: redaktor UI.</t>
        </is>
      </c>
      <c r="D6" s="5" t="inlineStr">
        <is>
          <t>Brauzer CAD redaktoru v1 + export limiti + anlıq qiymət</t>
        </is>
      </c>
    </row>
    <row r="7" ht="58" customHeight="1">
      <c r="A7" s="13" t="inlineStr">
        <is>
          <t>Ay 10–14</t>
        </is>
      </c>
      <c r="B7" s="14" t="inlineStr">
        <is>
          <t>Faza 5 — Marketplace</t>
        </is>
      </c>
      <c r="C7" s="5" t="inlineStr">
        <is>
          <t>Backend: listing+order+Stripe Connect payout. 3D kontent (Ay10): kitabxana+moderasiya. Dəstək (Ay13): istifadəçi dəstəyi.</t>
        </is>
      </c>
      <c r="D7" s="5" t="inlineStr">
        <is>
          <t>Dizayn marketplace + komissiya + payout işlək</t>
        </is>
      </c>
    </row>
    <row r="8" ht="58" customHeight="1">
      <c r="A8" s="13" t="inlineStr">
        <is>
          <t>Ay 14–24</t>
        </is>
      </c>
      <c r="B8" s="14" t="inlineStr">
        <is>
          <t>Böyümə &amp; optimallaşdırma</t>
        </is>
      </c>
      <c r="C8" s="5" t="inlineStr">
        <is>
          <t>Marketinq: CAC/LTV, kanallar. CTO/QA(#2 Ay19): fillet/ölçü, performans, STEP araşdırma. Financist: aylıq hesabat, runway izləmə.</t>
        </is>
      </c>
      <c r="D8" s="5" t="inlineStr">
        <is>
          <t>Konversiya artımı, churn azalması, MRR böyüməsi, CAD v2</t>
        </is>
      </c>
    </row>
    <row r="9" ht="58" customHeight="1">
      <c r="A9" s="13" t="inlineStr">
        <is>
          <t>Ay 24–36</t>
        </is>
      </c>
      <c r="B9" s="14" t="inlineStr">
        <is>
          <t>Miqyas &amp; B2B</t>
        </is>
      </c>
      <c r="C9" s="5" t="inlineStr">
        <is>
          <t>Sales/BizDev (Ay25): Business/API satışı, partnyorluq. CTO: STEP export (OpenCascade), API. Komanda: stabil əməliyyat + dəstək.</t>
        </is>
      </c>
      <c r="D9" s="5" t="inlineStr">
        <is>
          <t>API/komanda paketi, B2B müştərilər, beynəlxalq genişlənmə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4" customWidth="1" min="4" max="4"/>
    <col width="40" customWidth="1" min="5" max="5"/>
  </cols>
  <sheetData>
    <row r="1" ht="26" customHeight="1">
      <c r="A1" s="1" t="inlineStr">
        <is>
          <t>KOMPÜTER, AVADANLIQ və PROQRAM XƏRCLƏRİ (USD)</t>
        </is>
      </c>
    </row>
    <row r="2">
      <c r="A2" s="2" t="inlineStr">
        <is>
          <t>Avadanlıq (hər nəfər üçün)</t>
        </is>
      </c>
      <c r="B2" s="2" t="inlineStr">
        <is>
          <t>Sayı</t>
        </is>
      </c>
      <c r="C2" s="2" t="inlineStr">
        <is>
          <t>Vahid $</t>
        </is>
      </c>
      <c r="D2" s="2" t="inlineStr">
        <is>
          <t>Cəmi $</t>
        </is>
      </c>
      <c r="E2" s="2" t="inlineStr">
        <is>
          <t>Qeyd</t>
        </is>
      </c>
    </row>
    <row r="3" ht="26" customHeight="1">
      <c r="A3" s="5" t="inlineStr">
        <is>
          <t>Developer noutbuk/iş stansiyası (GPU — 3D/CAD)</t>
        </is>
      </c>
      <c r="B3" s="6" t="n">
        <v>6</v>
      </c>
      <c r="C3" s="8" t="n">
        <v>1500</v>
      </c>
      <c r="D3" s="8">
        <f>B3*C3</f>
        <v/>
      </c>
      <c r="E3" s="5" t="inlineStr">
        <is>
          <t>CAD/Three.js render üçün güclü GPU lazımdır</t>
        </is>
      </c>
    </row>
    <row r="4" ht="26" customHeight="1">
      <c r="A4" s="5" t="inlineStr">
        <is>
          <t>Monitor + klaviatura + siçan</t>
        </is>
      </c>
      <c r="B4" s="6" t="n">
        <v>8</v>
      </c>
      <c r="C4" s="8" t="n">
        <v>300</v>
      </c>
      <c r="D4" s="8">
        <f>B4*C4</f>
        <v/>
      </c>
      <c r="E4" s="5" t="inlineStr">
        <is>
          <t>Hər iş yeri üçün</t>
        </is>
      </c>
    </row>
    <row r="5" ht="26" customHeight="1">
      <c r="A5" s="5" t="inlineStr">
        <is>
          <t>Ofis/qeyri-tex işçi noutbuku</t>
        </is>
      </c>
      <c r="B5" s="6" t="n">
        <v>4</v>
      </c>
      <c r="C5" s="8" t="n">
        <v>800</v>
      </c>
      <c r="D5" s="8">
        <f>B5*C5</f>
        <v/>
      </c>
      <c r="E5" s="5" t="inlineStr">
        <is>
          <t>Marketinq, financist, dəstək, sales</t>
        </is>
      </c>
    </row>
    <row r="6" ht="26" customHeight="1">
      <c r="A6" s="5" t="inlineStr">
        <is>
          <t>Test cihazları (telefon/tablet)</t>
        </is>
      </c>
      <c r="B6" s="6" t="n">
        <v>1</v>
      </c>
      <c r="C6" s="8" t="n">
        <v>600</v>
      </c>
      <c r="D6" s="8">
        <f>B6*C6</f>
        <v/>
      </c>
      <c r="E6" s="5" t="inlineStr">
        <is>
          <t>Responsiv/mobil test</t>
        </is>
      </c>
    </row>
    <row r="7" ht="26" customHeight="1">
      <c r="A7" s="5" t="inlineStr">
        <is>
          <t>Şəbəkə/NAS/backup</t>
        </is>
      </c>
      <c r="B7" s="6" t="n">
        <v>1</v>
      </c>
      <c r="C7" s="8" t="n">
        <v>700</v>
      </c>
      <c r="D7" s="8">
        <f>B7*C7</f>
        <v/>
      </c>
      <c r="E7" s="5" t="inlineStr">
        <is>
          <t>Yedəkləmə və paylaşım</t>
        </is>
      </c>
    </row>
    <row r="8">
      <c r="A8" s="7" t="inlineStr">
        <is>
          <t>AVADANLIQ CƏMİ (birdəfəlik, fazalı alınır)</t>
        </is>
      </c>
      <c r="B8" s="15" t="n"/>
      <c r="C8" s="15" t="n"/>
      <c r="D8" s="16">
        <f>SUM(D3:D7)</f>
        <v/>
      </c>
      <c r="E8" s="15" t="n"/>
    </row>
    <row r="10">
      <c r="A10" s="2" t="inlineStr">
        <is>
          <t>Proqram / Servis (aylıq)</t>
        </is>
      </c>
      <c r="B10" s="2" t="inlineStr">
        <is>
          <t>Sayı</t>
        </is>
      </c>
      <c r="C10" s="2" t="inlineStr">
        <is>
          <t>Aylıq $</t>
        </is>
      </c>
      <c r="D10" s="2" t="inlineStr">
        <is>
          <t>İllik $</t>
        </is>
      </c>
      <c r="E10" s="2" t="inlineStr">
        <is>
          <t>Qeyd</t>
        </is>
      </c>
    </row>
    <row r="11">
      <c r="A11" s="5" t="inlineStr">
        <is>
          <t>Hosting / Vercel / infra</t>
        </is>
      </c>
      <c r="B11" s="6" t="n">
        <v>1</v>
      </c>
      <c r="C11" s="8" t="n">
        <v>150</v>
      </c>
      <c r="D11" s="8">
        <f>B11*C11*12</f>
        <v/>
      </c>
      <c r="E11" s="5" t="inlineStr">
        <is>
          <t>Trafikə görə artır (modeldə dinamik)</t>
        </is>
      </c>
    </row>
    <row r="12">
      <c r="A12" s="5" t="inlineStr">
        <is>
          <t>PostgreSQL (Neon/Supabase)</t>
        </is>
      </c>
      <c r="B12" s="6" t="n">
        <v>1</v>
      </c>
      <c r="C12" s="8" t="n">
        <v>60</v>
      </c>
      <c r="D12" s="8">
        <f>B12*C12*12</f>
        <v/>
      </c>
      <c r="E12" s="5" t="inlineStr">
        <is>
          <t>Verilənlər bazası</t>
        </is>
      </c>
    </row>
    <row r="13">
      <c r="A13" s="5" t="inlineStr">
        <is>
          <t>Cloudflare R2 / S3 saxlama</t>
        </is>
      </c>
      <c r="B13" s="6" t="n">
        <v>1</v>
      </c>
      <c r="C13" s="8" t="n">
        <v>40</v>
      </c>
      <c r="D13" s="8">
        <f>B13*C13*12</f>
        <v/>
      </c>
      <c r="E13" s="5" t="inlineStr">
        <is>
          <t>Fayl/model saxlama</t>
        </is>
      </c>
    </row>
    <row r="14">
      <c r="A14" s="5" t="inlineStr">
        <is>
          <t>Stripe</t>
        </is>
      </c>
      <c r="B14" s="6" t="n">
        <v>1</v>
      </c>
      <c r="C14" s="8" t="n">
        <v>0</v>
      </c>
      <c r="D14" s="8">
        <f>B14*C14*12</f>
        <v/>
      </c>
      <c r="E14" s="5" t="inlineStr">
        <is>
          <t>Faiz əsaslı (~3% — modeldə ayrıca)</t>
        </is>
      </c>
    </row>
    <row r="15">
      <c r="A15" s="5" t="inlineStr">
        <is>
          <t>Domen + email + Google Workspace</t>
        </is>
      </c>
      <c r="B15" s="6" t="n">
        <v>6</v>
      </c>
      <c r="C15" s="8" t="n">
        <v>8</v>
      </c>
      <c r="D15" s="8">
        <f>B15*C15*12</f>
        <v/>
      </c>
      <c r="E15" s="5" t="inlineStr">
        <is>
          <t>Hər istifadəçi/ay</t>
        </is>
      </c>
    </row>
    <row r="16">
      <c r="A16" s="5" t="inlineStr">
        <is>
          <t>Dizayn (Figma) + analitika + alətlər</t>
        </is>
      </c>
      <c r="B16" s="6" t="n">
        <v>1</v>
      </c>
      <c r="C16" s="8" t="n">
        <v>120</v>
      </c>
      <c r="D16" s="8">
        <f>B16*C16*12</f>
        <v/>
      </c>
      <c r="E16" s="5" t="inlineStr">
        <is>
          <t>Komanda lisenziyaları</t>
        </is>
      </c>
    </row>
    <row r="17">
      <c r="A17" s="5" t="inlineStr">
        <is>
          <t>GitHub / CI / monitoring</t>
        </is>
      </c>
      <c r="B17" s="6" t="n">
        <v>1</v>
      </c>
      <c r="C17" s="8" t="n">
        <v>80</v>
      </c>
      <c r="D17" s="8">
        <f>B17*C17*12</f>
        <v/>
      </c>
      <c r="E17" s="5" t="inlineStr">
        <is>
          <t>DevOps</t>
        </is>
      </c>
    </row>
    <row r="18">
      <c r="A18" s="7" t="inlineStr">
        <is>
          <t>PROQRAM/SERVIS CƏMİ</t>
        </is>
      </c>
      <c r="B18" s="15" t="n"/>
      <c r="C18" s="17">
        <f>SUM(C11:C17)</f>
        <v/>
      </c>
      <c r="D18" s="16">
        <f>SUM(D11:D17)</f>
        <v/>
      </c>
      <c r="E18" s="15" t="n"/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50" customWidth="1" min="3" max="3"/>
  </cols>
  <sheetData>
    <row r="1" ht="26" customHeight="1">
      <c r="A1" s="1" t="inlineStr">
        <is>
          <t>FƏRZİYYƏLƏR — buraları dəyişin, model yenilənir (Orta ssenari)</t>
        </is>
      </c>
    </row>
    <row r="2">
      <c r="A2" s="2" t="inlineStr">
        <is>
          <t>Parametr</t>
        </is>
      </c>
      <c r="B2" s="2" t="inlineStr">
        <is>
          <t>Dəyər</t>
        </is>
      </c>
      <c r="C2" s="2" t="inlineStr">
        <is>
          <t>İzah</t>
        </is>
      </c>
    </row>
    <row r="3">
      <c r="A3" s="5" t="inlineStr">
        <is>
          <t>Başlanğıc aylıq ziyarətçi</t>
        </is>
      </c>
      <c r="B3" s="18" t="n">
        <v>3000</v>
      </c>
      <c r="C3" s="5" t="inlineStr">
        <is>
          <t>1-ci ay</t>
        </is>
      </c>
    </row>
    <row r="4">
      <c r="A4" s="5" t="inlineStr">
        <is>
          <t>Ziyarətçi aylıq artım</t>
        </is>
      </c>
      <c r="B4" s="19" t="n">
        <v>0.1</v>
      </c>
      <c r="C4" s="5" t="inlineStr">
        <is>
          <t>10%/ay</t>
        </is>
      </c>
    </row>
    <row r="5">
      <c r="A5" s="5" t="inlineStr">
        <is>
          <t>Pulsuz qeydiyyat dərəcəsi (ziyarətçidən)</t>
        </is>
      </c>
      <c r="B5" s="19" t="n">
        <v>0.22</v>
      </c>
      <c r="C5" s="5" t="inlineStr">
        <is>
          <t>ziyarətçinin 22%-i</t>
        </is>
      </c>
    </row>
    <row r="6">
      <c r="A6" s="5" t="inlineStr">
        <is>
          <t>Ödənişli konversiya (yeni pulsuzdan)</t>
        </is>
      </c>
      <c r="B6" s="19" t="n">
        <v>0.04</v>
      </c>
      <c r="C6" s="5" t="inlineStr">
        <is>
          <t>4%</t>
        </is>
      </c>
    </row>
    <row r="7">
      <c r="A7" s="5" t="inlineStr">
        <is>
          <t>Aylıq churn (ödənişli)</t>
        </is>
      </c>
      <c r="B7" s="19" t="n">
        <v>0.06</v>
      </c>
      <c r="C7" s="5" t="inlineStr">
        <is>
          <t>6%/ay ləğv</t>
        </is>
      </c>
    </row>
    <row r="8">
      <c r="A8" s="5" t="inlineStr">
        <is>
          <t>Blended ARPU ($/ay)</t>
        </is>
      </c>
      <c r="B8" s="18" t="n">
        <v>22</v>
      </c>
      <c r="C8" s="5" t="inlineStr">
        <is>
          <t>paketlərin orta dəyəri</t>
        </is>
      </c>
    </row>
    <row r="9">
      <c r="A9" s="5" t="inlineStr">
        <is>
          <t>Stripe / ödəniş faizi</t>
        </is>
      </c>
      <c r="B9" s="19" t="n">
        <v>0.03</v>
      </c>
      <c r="C9" s="5" t="inlineStr">
        <is>
          <t>3%</t>
        </is>
      </c>
    </row>
    <row r="10">
      <c r="A10" s="5" t="inlineStr">
        <is>
          <t>Marketplace GMV — 1-ci ay ($)</t>
        </is>
      </c>
      <c r="B10" s="18" t="n">
        <v>500</v>
      </c>
      <c r="C10" s="5" t="inlineStr">
        <is>
          <t>satış həcmi</t>
        </is>
      </c>
    </row>
    <row r="11">
      <c r="A11" s="5" t="inlineStr">
        <is>
          <t>GMV aylıq artım</t>
        </is>
      </c>
      <c r="B11" s="19" t="n">
        <v>0.12</v>
      </c>
      <c r="C11" s="5" t="inlineStr">
        <is>
          <t>12%/ay</t>
        </is>
      </c>
    </row>
    <row r="12">
      <c r="A12" s="5" t="inlineStr">
        <is>
          <t>Komissiya faizi</t>
        </is>
      </c>
      <c r="B12" s="19" t="n">
        <v>0.08</v>
      </c>
      <c r="C12" s="5" t="inlineStr">
        <is>
          <t>8% bizə</t>
        </is>
      </c>
    </row>
    <row r="13">
      <c r="A13" s="5" t="inlineStr">
        <is>
          <t>Maaş üzərinə vergi/SSF əmsalı</t>
        </is>
      </c>
      <c r="B13" s="19" t="n">
        <v>0.25</v>
      </c>
      <c r="C13" s="5" t="inlineStr">
        <is>
          <t>işəgötürən ~25%</t>
        </is>
      </c>
    </row>
    <row r="14">
      <c r="A14" s="5" t="inlineStr">
        <is>
          <t>Hosting baza ($/ay)</t>
        </is>
      </c>
      <c r="B14" s="18" t="n">
        <v>150</v>
      </c>
      <c r="C14" s="5" t="inlineStr">
        <is>
          <t>minimum infra</t>
        </is>
      </c>
    </row>
    <row r="15">
      <c r="A15" s="5" t="inlineStr">
        <is>
          <t>Hosting / 10K ziyarətçi ($)</t>
        </is>
      </c>
      <c r="B15" s="18" t="n">
        <v>40</v>
      </c>
      <c r="C15" s="5" t="inlineStr">
        <is>
          <t>trafikə görə artım</t>
        </is>
      </c>
    </row>
    <row r="16">
      <c r="A16" s="5" t="inlineStr">
        <is>
          <t>Software/alət — hər nəfər ($/ay)</t>
        </is>
      </c>
      <c r="B16" s="18" t="n">
        <v>60</v>
      </c>
      <c r="C16" s="5" t="inlineStr">
        <is>
          <t>lisenziyalar</t>
        </is>
      </c>
    </row>
    <row r="17">
      <c r="A17" s="5" t="inlineStr">
        <is>
          <t>Marketinq — gəlirin %-i</t>
        </is>
      </c>
      <c r="B17" s="19" t="n">
        <v>0.2</v>
      </c>
      <c r="C17" s="5" t="inlineStr">
        <is>
          <t>20%</t>
        </is>
      </c>
    </row>
    <row r="18">
      <c r="A18" s="5" t="inlineStr">
        <is>
          <t>Marketinq minimum ($/ay)</t>
        </is>
      </c>
      <c r="B18" s="18" t="n">
        <v>400</v>
      </c>
      <c r="C18" s="5" t="inlineStr">
        <is>
          <t>baza büdcə</t>
        </is>
      </c>
    </row>
    <row r="19">
      <c r="A19" s="5" t="inlineStr">
        <is>
          <t>İnzibati/ofis/hüquq ($/ay)</t>
        </is>
      </c>
      <c r="B19" s="18" t="n">
        <v>500</v>
      </c>
      <c r="C19" s="5" t="inlineStr">
        <is>
          <t>baza</t>
        </is>
      </c>
    </row>
    <row r="20">
      <c r="A20" s="5" t="inlineStr">
        <is>
          <t>Başlanğıc kapital / investisiya ($)</t>
        </is>
      </c>
      <c r="B20" s="18" t="n">
        <v>60000</v>
      </c>
      <c r="C20" s="5" t="inlineStr">
        <is>
          <t>seed — runway üçün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9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10" customWidth="1" min="3" max="3"/>
    <col width="10" customWidth="1" min="4" max="4"/>
    <col width="12" customWidth="1" min="5" max="5"/>
    <col width="12" customWidth="1" min="6" max="6"/>
    <col width="13" customWidth="1" min="7" max="7"/>
    <col width="11" customWidth="1" min="8" max="8"/>
    <col width="13" customWidth="1" min="9" max="9"/>
    <col width="10" customWidth="1" min="10" max="10"/>
    <col width="11" customWidth="1" min="11" max="11"/>
    <col width="12" customWidth="1" min="12" max="12"/>
    <col width="12" customWidth="1" min="13" max="13"/>
    <col width="10" customWidth="1" min="14" max="14"/>
    <col width="11" customWidth="1" min="15" max="15"/>
    <col width="11" customWidth="1" min="16" max="16"/>
    <col width="10" customWidth="1" min="17" max="17"/>
    <col width="9" customWidth="1" min="18" max="18"/>
    <col width="13" customWidth="1" min="19" max="19"/>
    <col width="12" customWidth="1" min="20" max="20"/>
    <col width="14" customWidth="1" min="21" max="21"/>
  </cols>
  <sheetData>
    <row r="1" ht="26" customHeight="1">
      <c r="A1" s="1" t="inlineStr">
        <is>
          <t>36 AYLIQ GƏLİR-XƏRC MODELİ (canlı düsturlu — Fərziyyələr dəyişdikcə yenilənir)</t>
        </is>
      </c>
    </row>
    <row r="2">
      <c r="A2" s="2" t="inlineStr">
        <is>
          <t>Ay</t>
        </is>
      </c>
      <c r="B2" s="2" t="inlineStr">
        <is>
          <t>Tarix</t>
        </is>
      </c>
      <c r="C2" s="2" t="inlineStr">
        <is>
          <t>Ziyarətçi</t>
        </is>
      </c>
      <c r="D2" s="2" t="inlineStr">
        <is>
          <t>Yeni pulsuz</t>
        </is>
      </c>
      <c r="E2" s="2" t="inlineStr">
        <is>
          <t>Ödənişli istifadəçi</t>
        </is>
      </c>
      <c r="F2" s="2" t="inlineStr">
        <is>
          <t>Abunə gəliri $</t>
        </is>
      </c>
      <c r="G2" s="2" t="inlineStr">
        <is>
          <t>Marketplace GMV $</t>
        </is>
      </c>
      <c r="H2" s="2" t="inlineStr">
        <is>
          <t>Komissiya $</t>
        </is>
      </c>
      <c r="I2" s="2" t="inlineStr">
        <is>
          <t>ÜMUMİ GƏLİR $</t>
        </is>
      </c>
      <c r="J2" s="2" t="inlineStr">
        <is>
          <t>Komanda (nəfər)</t>
        </is>
      </c>
      <c r="K2" s="2" t="inlineStr">
        <is>
          <t>Maaş brüt $</t>
        </is>
      </c>
      <c r="L2" s="2" t="inlineStr">
        <is>
          <t>Maaş+vergi $</t>
        </is>
      </c>
      <c r="M2" s="2" t="inlineStr">
        <is>
          <t>Hosting/infra $</t>
        </is>
      </c>
      <c r="N2" s="2" t="inlineStr">
        <is>
          <t>Software $</t>
        </is>
      </c>
      <c r="O2" s="2" t="inlineStr">
        <is>
          <t>Marketinq $</t>
        </is>
      </c>
      <c r="P2" s="2" t="inlineStr">
        <is>
          <t>Avadanlıq $</t>
        </is>
      </c>
      <c r="Q2" s="2" t="inlineStr">
        <is>
          <t>İnzibati $</t>
        </is>
      </c>
      <c r="R2" s="2" t="inlineStr">
        <is>
          <t>Stripe $</t>
        </is>
      </c>
      <c r="S2" s="2" t="inlineStr">
        <is>
          <t>ÜMUMİ XƏRC $</t>
        </is>
      </c>
      <c r="T2" s="2" t="inlineStr">
        <is>
          <t>Aylıq NET $</t>
        </is>
      </c>
      <c r="U2" s="2" t="inlineStr">
        <is>
          <t>Yığılmış kassa $</t>
        </is>
      </c>
    </row>
    <row r="3">
      <c r="A3" s="6" t="n">
        <v>1</v>
      </c>
      <c r="B3" s="6" t="inlineStr">
        <is>
          <t>2026-07</t>
        </is>
      </c>
      <c r="C3" s="20">
        <f>'Fərziyyələr'!$B$3</f>
        <v/>
      </c>
      <c r="D3" s="20">
        <f>C3*'Fərziyyələr'!$B$5</f>
        <v/>
      </c>
      <c r="E3" s="20">
        <f>D3*'Fərziyyələr'!$B$6</f>
        <v/>
      </c>
      <c r="F3" s="20">
        <f>E3*'Fərziyyələr'!$B$8</f>
        <v/>
      </c>
      <c r="G3" s="20">
        <f>'Fərziyyələr'!$B$10</f>
        <v/>
      </c>
      <c r="H3" s="20">
        <f>G3*'Fərziyyələr'!$B$12</f>
        <v/>
      </c>
      <c r="I3" s="21">
        <f>F3+H3</f>
        <v/>
      </c>
      <c r="J3" s="22" t="n">
        <v>2</v>
      </c>
      <c r="K3" s="20" t="n">
        <v>4000</v>
      </c>
      <c r="L3" s="20">
        <f>K3*(1+'Fərziyyələr'!$B$13)</f>
        <v/>
      </c>
      <c r="M3" s="20">
        <f>'Fərziyyələr'!$B$14+C3/10000*'Fərziyyələr'!$B$15</f>
        <v/>
      </c>
      <c r="N3" s="20">
        <f>J3*'Fərziyyələr'!$B$16</f>
        <v/>
      </c>
      <c r="O3" s="20">
        <f>MAX('Fərziyyələr'!$B$18,I3*'Fərziyyələr'!$B$17)</f>
        <v/>
      </c>
      <c r="P3" s="20" t="n">
        <v>2900</v>
      </c>
      <c r="Q3" s="20">
        <f>'Fərziyyələr'!$B$19+0</f>
        <v/>
      </c>
      <c r="R3" s="20">
        <f>I3*'Fərziyyələr'!$B$9</f>
        <v/>
      </c>
      <c r="S3" s="21">
        <f>L3+M3+N3+O3+P3+Q3+R3</f>
        <v/>
      </c>
      <c r="T3" s="20">
        <f>I3-S3</f>
        <v/>
      </c>
      <c r="U3" s="20">
        <f>'Fərziyyələr'!$B$20+T3</f>
        <v/>
      </c>
    </row>
    <row r="4">
      <c r="A4" s="6" t="n">
        <v>2</v>
      </c>
      <c r="B4" s="6" t="inlineStr">
        <is>
          <t>2026-08</t>
        </is>
      </c>
      <c r="C4" s="20">
        <f>C3*(1+'Fərziyyələr'!$B$4)</f>
        <v/>
      </c>
      <c r="D4" s="20">
        <f>C4*'Fərziyyələr'!$B$5</f>
        <v/>
      </c>
      <c r="E4" s="20">
        <f>E3*(1-'Fərziyyələr'!$B$7)+D4*'Fərziyyələr'!$B$6</f>
        <v/>
      </c>
      <c r="F4" s="20">
        <f>E4*'Fərziyyələr'!$B$8</f>
        <v/>
      </c>
      <c r="G4" s="20">
        <f>G3*(1+'Fərziyyələr'!$B$11)</f>
        <v/>
      </c>
      <c r="H4" s="20">
        <f>G4*'Fərziyyələr'!$B$12</f>
        <v/>
      </c>
      <c r="I4" s="21">
        <f>F4+H4</f>
        <v/>
      </c>
      <c r="J4" s="22" t="n">
        <v>3</v>
      </c>
      <c r="K4" s="20" t="n">
        <v>5500</v>
      </c>
      <c r="L4" s="20">
        <f>K4*(1+'Fərziyyələr'!$B$13)</f>
        <v/>
      </c>
      <c r="M4" s="20">
        <f>'Fərziyyələr'!$B$14+C4/10000*'Fərziyyələr'!$B$15</f>
        <v/>
      </c>
      <c r="N4" s="20">
        <f>J4*'Fərziyyələr'!$B$16</f>
        <v/>
      </c>
      <c r="O4" s="20">
        <f>MAX('Fərziyyələr'!$B$18,I4*'Fərziyyələr'!$B$17)</f>
        <v/>
      </c>
      <c r="P4" s="20" t="n">
        <v>1800</v>
      </c>
      <c r="Q4" s="20">
        <f>'Fərziyyələr'!$B$19+0</f>
        <v/>
      </c>
      <c r="R4" s="20">
        <f>I4*'Fərziyyələr'!$B$9</f>
        <v/>
      </c>
      <c r="S4" s="21">
        <f>L4+M4+N4+O4+P4+Q4+R4</f>
        <v/>
      </c>
      <c r="T4" s="20">
        <f>I4-S4</f>
        <v/>
      </c>
      <c r="U4" s="20">
        <f>U3+T4</f>
        <v/>
      </c>
    </row>
    <row r="5">
      <c r="A5" s="6" t="n">
        <v>3</v>
      </c>
      <c r="B5" s="6" t="inlineStr">
        <is>
          <t>2026-09</t>
        </is>
      </c>
      <c r="C5" s="20">
        <f>C4*(1+'Fərziyyələr'!$B$4)</f>
        <v/>
      </c>
      <c r="D5" s="20">
        <f>C5*'Fərziyyələr'!$B$5</f>
        <v/>
      </c>
      <c r="E5" s="20">
        <f>E4*(1-'Fərziyyələr'!$B$7)+D5*'Fərziyyələr'!$B$6</f>
        <v/>
      </c>
      <c r="F5" s="20">
        <f>E5*'Fərziyyələr'!$B$8</f>
        <v/>
      </c>
      <c r="G5" s="20">
        <f>G4*(1+'Fərziyyələr'!$B$11)</f>
        <v/>
      </c>
      <c r="H5" s="20">
        <f>G5*'Fərziyyələr'!$B$12</f>
        <v/>
      </c>
      <c r="I5" s="21">
        <f>F5+H5</f>
        <v/>
      </c>
      <c r="J5" s="22" t="n">
        <v>3</v>
      </c>
      <c r="K5" s="20" t="n">
        <v>5500</v>
      </c>
      <c r="L5" s="20">
        <f>K5*(1+'Fərziyyələr'!$B$13)</f>
        <v/>
      </c>
      <c r="M5" s="20">
        <f>'Fərziyyələr'!$B$14+C5/10000*'Fərziyyələr'!$B$15</f>
        <v/>
      </c>
      <c r="N5" s="20">
        <f>J5*'Fərziyyələr'!$B$16</f>
        <v/>
      </c>
      <c r="O5" s="20">
        <f>MAX('Fərziyyələr'!$B$18,I5*'Fərziyyələr'!$B$17)</f>
        <v/>
      </c>
      <c r="P5" s="20" t="n">
        <v>0</v>
      </c>
      <c r="Q5" s="20">
        <f>'Fərziyyələr'!$B$19+0</f>
        <v/>
      </c>
      <c r="R5" s="20">
        <f>I5*'Fərziyyələr'!$B$9</f>
        <v/>
      </c>
      <c r="S5" s="21">
        <f>L5+M5+N5+O5+P5+Q5+R5</f>
        <v/>
      </c>
      <c r="T5" s="20">
        <f>I5-S5</f>
        <v/>
      </c>
      <c r="U5" s="20">
        <f>U4+T5</f>
        <v/>
      </c>
    </row>
    <row r="6">
      <c r="A6" s="6" t="n">
        <v>4</v>
      </c>
      <c r="B6" s="6" t="inlineStr">
        <is>
          <t>2026-10</t>
        </is>
      </c>
      <c r="C6" s="20">
        <f>C5*(1+'Fərziyyələr'!$B$4)</f>
        <v/>
      </c>
      <c r="D6" s="20">
        <f>C6*'Fərziyyələr'!$B$5</f>
        <v/>
      </c>
      <c r="E6" s="20">
        <f>E5*(1-'Fərziyyələr'!$B$7)+D6*'Fərziyyələr'!$B$6</f>
        <v/>
      </c>
      <c r="F6" s="20">
        <f>E6*'Fərziyyələr'!$B$8</f>
        <v/>
      </c>
      <c r="G6" s="20">
        <f>G5*(1+'Fərziyyələr'!$B$11)</f>
        <v/>
      </c>
      <c r="H6" s="20">
        <f>G6*'Fərziyyələr'!$B$12</f>
        <v/>
      </c>
      <c r="I6" s="21">
        <f>F6+H6</f>
        <v/>
      </c>
      <c r="J6" s="22" t="n">
        <v>4</v>
      </c>
      <c r="K6" s="20" t="n">
        <v>6700</v>
      </c>
      <c r="L6" s="20">
        <f>K6*(1+'Fərziyyələr'!$B$13)</f>
        <v/>
      </c>
      <c r="M6" s="20">
        <f>'Fərziyyələr'!$B$14+C6/10000*'Fərziyyələr'!$B$15</f>
        <v/>
      </c>
      <c r="N6" s="20">
        <f>J6*'Fərziyyələr'!$B$16</f>
        <v/>
      </c>
      <c r="O6" s="20">
        <f>MAX('Fərziyyələr'!$B$18,I6*'Fərziyyələr'!$B$17)</f>
        <v/>
      </c>
      <c r="P6" s="20" t="n">
        <v>1100</v>
      </c>
      <c r="Q6" s="20">
        <f>'Fərziyyələr'!$B$19+0</f>
        <v/>
      </c>
      <c r="R6" s="20">
        <f>I6*'Fərziyyələr'!$B$9</f>
        <v/>
      </c>
      <c r="S6" s="21">
        <f>L6+M6+N6+O6+P6+Q6+R6</f>
        <v/>
      </c>
      <c r="T6" s="20">
        <f>I6-S6</f>
        <v/>
      </c>
      <c r="U6" s="20">
        <f>U5+T6</f>
        <v/>
      </c>
    </row>
    <row r="7">
      <c r="A7" s="6" t="n">
        <v>5</v>
      </c>
      <c r="B7" s="6" t="inlineStr">
        <is>
          <t>2026-11</t>
        </is>
      </c>
      <c r="C7" s="20">
        <f>C6*(1+'Fərziyyələr'!$B$4)</f>
        <v/>
      </c>
      <c r="D7" s="20">
        <f>C7*'Fərziyyələr'!$B$5</f>
        <v/>
      </c>
      <c r="E7" s="20">
        <f>E6*(1-'Fərziyyələr'!$B$7)+D7*'Fərziyyələr'!$B$6</f>
        <v/>
      </c>
      <c r="F7" s="20">
        <f>E7*'Fərziyyələr'!$B$8</f>
        <v/>
      </c>
      <c r="G7" s="20">
        <f>G6*(1+'Fərziyyələr'!$B$11)</f>
        <v/>
      </c>
      <c r="H7" s="20">
        <f>G7*'Fərziyyələr'!$B$12</f>
        <v/>
      </c>
      <c r="I7" s="21">
        <f>F7+H7</f>
        <v/>
      </c>
      <c r="J7" s="22" t="n">
        <v>5</v>
      </c>
      <c r="K7" s="20" t="n">
        <v>8500</v>
      </c>
      <c r="L7" s="20">
        <f>K7*(1+'Fərziyyələr'!$B$13)</f>
        <v/>
      </c>
      <c r="M7" s="20">
        <f>'Fərziyyələr'!$B$14+C7/10000*'Fərziyyələr'!$B$15</f>
        <v/>
      </c>
      <c r="N7" s="20">
        <f>J7*'Fərziyyələr'!$B$16</f>
        <v/>
      </c>
      <c r="O7" s="20">
        <f>MAX('Fərziyyələr'!$B$18,I7*'Fərziyyələr'!$B$17)</f>
        <v/>
      </c>
      <c r="P7" s="20" t="n">
        <v>1800</v>
      </c>
      <c r="Q7" s="20">
        <f>'Fərziyyələr'!$B$19+0</f>
        <v/>
      </c>
      <c r="R7" s="20">
        <f>I7*'Fərziyyələr'!$B$9</f>
        <v/>
      </c>
      <c r="S7" s="21">
        <f>L7+M7+N7+O7+P7+Q7+R7</f>
        <v/>
      </c>
      <c r="T7" s="20">
        <f>I7-S7</f>
        <v/>
      </c>
      <c r="U7" s="20">
        <f>U6+T7</f>
        <v/>
      </c>
    </row>
    <row r="8">
      <c r="A8" s="6" t="n">
        <v>6</v>
      </c>
      <c r="B8" s="6" t="inlineStr">
        <is>
          <t>2026-12</t>
        </is>
      </c>
      <c r="C8" s="20">
        <f>C7*(1+'Fərziyyələr'!$B$4)</f>
        <v/>
      </c>
      <c r="D8" s="20">
        <f>C8*'Fərziyyələr'!$B$5</f>
        <v/>
      </c>
      <c r="E8" s="20">
        <f>E7*(1-'Fərziyyələr'!$B$7)+D8*'Fərziyyələr'!$B$6</f>
        <v/>
      </c>
      <c r="F8" s="20">
        <f>E8*'Fərziyyələr'!$B$8</f>
        <v/>
      </c>
      <c r="G8" s="20">
        <f>G7*(1+'Fərziyyələr'!$B$11)</f>
        <v/>
      </c>
      <c r="H8" s="20">
        <f>G8*'Fərziyyələr'!$B$12</f>
        <v/>
      </c>
      <c r="I8" s="21">
        <f>F8+H8</f>
        <v/>
      </c>
      <c r="J8" s="22" t="n">
        <v>5</v>
      </c>
      <c r="K8" s="20" t="n">
        <v>8500</v>
      </c>
      <c r="L8" s="20">
        <f>K8*(1+'Fərziyyələr'!$B$13)</f>
        <v/>
      </c>
      <c r="M8" s="20">
        <f>'Fərziyyələr'!$B$14+C8/10000*'Fərziyyələr'!$B$15</f>
        <v/>
      </c>
      <c r="N8" s="20">
        <f>J8*'Fərziyyələr'!$B$16</f>
        <v/>
      </c>
      <c r="O8" s="20">
        <f>MAX('Fərziyyələr'!$B$18,I8*'Fərziyyələr'!$B$17)</f>
        <v/>
      </c>
      <c r="P8" s="20" t="n">
        <v>0</v>
      </c>
      <c r="Q8" s="20">
        <f>'Fərziyyələr'!$B$19+0</f>
        <v/>
      </c>
      <c r="R8" s="20">
        <f>I8*'Fərziyyələr'!$B$9</f>
        <v/>
      </c>
      <c r="S8" s="21">
        <f>L8+M8+N8+O8+P8+Q8+R8</f>
        <v/>
      </c>
      <c r="T8" s="20">
        <f>I8-S8</f>
        <v/>
      </c>
      <c r="U8" s="20">
        <f>U7+T8</f>
        <v/>
      </c>
    </row>
    <row r="9">
      <c r="A9" s="6" t="n">
        <v>7</v>
      </c>
      <c r="B9" s="6" t="inlineStr">
        <is>
          <t>2027-01</t>
        </is>
      </c>
      <c r="C9" s="20">
        <f>C8*(1+'Fərziyyələr'!$B$4)</f>
        <v/>
      </c>
      <c r="D9" s="20">
        <f>C9*'Fərziyyələr'!$B$5</f>
        <v/>
      </c>
      <c r="E9" s="20">
        <f>E8*(1-'Fərziyyələr'!$B$7)+D9*'Fərziyyələr'!$B$6</f>
        <v/>
      </c>
      <c r="F9" s="20">
        <f>E9*'Fərziyyələr'!$B$8</f>
        <v/>
      </c>
      <c r="G9" s="20">
        <f>G8*(1+'Fərziyyələr'!$B$11)</f>
        <v/>
      </c>
      <c r="H9" s="20">
        <f>G9*'Fərziyyələr'!$B$12</f>
        <v/>
      </c>
      <c r="I9" s="21">
        <f>F9+H9</f>
        <v/>
      </c>
      <c r="J9" s="22" t="n">
        <v>7</v>
      </c>
      <c r="K9" s="20" t="n">
        <v>10600</v>
      </c>
      <c r="L9" s="20">
        <f>K9*(1+'Fərziyyələr'!$B$13)</f>
        <v/>
      </c>
      <c r="M9" s="20">
        <f>'Fərziyyələr'!$B$14+C9/10000*'Fərziyyələr'!$B$15</f>
        <v/>
      </c>
      <c r="N9" s="20">
        <f>J9*'Fərziyyələr'!$B$16</f>
        <v/>
      </c>
      <c r="O9" s="20">
        <f>MAX('Fərziyyələr'!$B$18,I9*'Fərziyyələr'!$B$17)</f>
        <v/>
      </c>
      <c r="P9" s="20" t="n">
        <v>2200</v>
      </c>
      <c r="Q9" s="20">
        <f>'Fərziyyələr'!$B$19+0</f>
        <v/>
      </c>
      <c r="R9" s="20">
        <f>I9*'Fərziyyələr'!$B$9</f>
        <v/>
      </c>
      <c r="S9" s="21">
        <f>L9+M9+N9+O9+P9+Q9+R9</f>
        <v/>
      </c>
      <c r="T9" s="20">
        <f>I9-S9</f>
        <v/>
      </c>
      <c r="U9" s="20">
        <f>U8+T9</f>
        <v/>
      </c>
    </row>
    <row r="10">
      <c r="A10" s="6" t="n">
        <v>8</v>
      </c>
      <c r="B10" s="6" t="inlineStr">
        <is>
          <t>2027-02</t>
        </is>
      </c>
      <c r="C10" s="20">
        <f>C9*(1+'Fərziyyələr'!$B$4)</f>
        <v/>
      </c>
      <c r="D10" s="20">
        <f>C10*'Fərziyyələr'!$B$5</f>
        <v/>
      </c>
      <c r="E10" s="20">
        <f>E9*(1-'Fərziyyələr'!$B$7)+D10*'Fərziyyələr'!$B$6</f>
        <v/>
      </c>
      <c r="F10" s="20">
        <f>E10*'Fərziyyələr'!$B$8</f>
        <v/>
      </c>
      <c r="G10" s="20">
        <f>G9*(1+'Fərziyyələr'!$B$11)</f>
        <v/>
      </c>
      <c r="H10" s="20">
        <f>G10*'Fərziyyələr'!$B$12</f>
        <v/>
      </c>
      <c r="I10" s="21">
        <f>F10+H10</f>
        <v/>
      </c>
      <c r="J10" s="22" t="n">
        <v>7</v>
      </c>
      <c r="K10" s="20" t="n">
        <v>10600</v>
      </c>
      <c r="L10" s="20">
        <f>K10*(1+'Fərziyyələr'!$B$13)</f>
        <v/>
      </c>
      <c r="M10" s="20">
        <f>'Fərziyyələr'!$B$14+C10/10000*'Fərziyyələr'!$B$15</f>
        <v/>
      </c>
      <c r="N10" s="20">
        <f>J10*'Fərziyyələr'!$B$16</f>
        <v/>
      </c>
      <c r="O10" s="20">
        <f>MAX('Fərziyyələr'!$B$18,I10*'Fərziyyələr'!$B$17)</f>
        <v/>
      </c>
      <c r="P10" s="20" t="n">
        <v>0</v>
      </c>
      <c r="Q10" s="20">
        <f>'Fərziyyələr'!$B$19+0</f>
        <v/>
      </c>
      <c r="R10" s="20">
        <f>I10*'Fərziyyələr'!$B$9</f>
        <v/>
      </c>
      <c r="S10" s="21">
        <f>L10+M10+N10+O10+P10+Q10+R10</f>
        <v/>
      </c>
      <c r="T10" s="20">
        <f>I10-S10</f>
        <v/>
      </c>
      <c r="U10" s="20">
        <f>U9+T10</f>
        <v/>
      </c>
    </row>
    <row r="11">
      <c r="A11" s="6" t="n">
        <v>9</v>
      </c>
      <c r="B11" s="6" t="inlineStr">
        <is>
          <t>2027-03</t>
        </is>
      </c>
      <c r="C11" s="20">
        <f>C10*(1+'Fərziyyələr'!$B$4)</f>
        <v/>
      </c>
      <c r="D11" s="20">
        <f>C11*'Fərziyyələr'!$B$5</f>
        <v/>
      </c>
      <c r="E11" s="20">
        <f>E10*(1-'Fərziyyələr'!$B$7)+D11*'Fərziyyələr'!$B$6</f>
        <v/>
      </c>
      <c r="F11" s="20">
        <f>E11*'Fərziyyələr'!$B$8</f>
        <v/>
      </c>
      <c r="G11" s="20">
        <f>G10*(1+'Fərziyyələr'!$B$11)</f>
        <v/>
      </c>
      <c r="H11" s="20">
        <f>G11*'Fərziyyələr'!$B$12</f>
        <v/>
      </c>
      <c r="I11" s="21">
        <f>F11+H11</f>
        <v/>
      </c>
      <c r="J11" s="22" t="n">
        <v>7</v>
      </c>
      <c r="K11" s="20" t="n">
        <v>10600</v>
      </c>
      <c r="L11" s="20">
        <f>K11*(1+'Fərziyyələr'!$B$13)</f>
        <v/>
      </c>
      <c r="M11" s="20">
        <f>'Fərziyyələr'!$B$14+C11/10000*'Fərziyyələr'!$B$15</f>
        <v/>
      </c>
      <c r="N11" s="20">
        <f>J11*'Fərziyyələr'!$B$16</f>
        <v/>
      </c>
      <c r="O11" s="20">
        <f>MAX('Fərziyyələr'!$B$18,I11*'Fərziyyələr'!$B$17)</f>
        <v/>
      </c>
      <c r="P11" s="20" t="n">
        <v>0</v>
      </c>
      <c r="Q11" s="20">
        <f>'Fərziyyələr'!$B$19+0</f>
        <v/>
      </c>
      <c r="R11" s="20">
        <f>I11*'Fərziyyələr'!$B$9</f>
        <v/>
      </c>
      <c r="S11" s="21">
        <f>L11+M11+N11+O11+P11+Q11+R11</f>
        <v/>
      </c>
      <c r="T11" s="20">
        <f>I11-S11</f>
        <v/>
      </c>
      <c r="U11" s="20">
        <f>U10+T11</f>
        <v/>
      </c>
    </row>
    <row r="12">
      <c r="A12" s="6" t="n">
        <v>10</v>
      </c>
      <c r="B12" s="6" t="inlineStr">
        <is>
          <t>2027-04</t>
        </is>
      </c>
      <c r="C12" s="20">
        <f>C11*(1+'Fərziyyələr'!$B$4)</f>
        <v/>
      </c>
      <c r="D12" s="20">
        <f>C12*'Fərziyyələr'!$B$5</f>
        <v/>
      </c>
      <c r="E12" s="20">
        <f>E11*(1-'Fərziyyələr'!$B$7)+D12*'Fərziyyələr'!$B$6</f>
        <v/>
      </c>
      <c r="F12" s="20">
        <f>E12*'Fərziyyələr'!$B$8</f>
        <v/>
      </c>
      <c r="G12" s="20">
        <f>G11*(1+'Fərziyyələr'!$B$11)</f>
        <v/>
      </c>
      <c r="H12" s="20">
        <f>G12*'Fərziyyələr'!$B$12</f>
        <v/>
      </c>
      <c r="I12" s="21">
        <f>F12+H12</f>
        <v/>
      </c>
      <c r="J12" s="22" t="n">
        <v>8</v>
      </c>
      <c r="K12" s="20" t="n">
        <v>11500</v>
      </c>
      <c r="L12" s="20">
        <f>K12*(1+'Fərziyyələr'!$B$13)</f>
        <v/>
      </c>
      <c r="M12" s="20">
        <f>'Fərziyyələr'!$B$14+C12/10000*'Fərziyyələr'!$B$15</f>
        <v/>
      </c>
      <c r="N12" s="20">
        <f>J12*'Fərziyyələr'!$B$16</f>
        <v/>
      </c>
      <c r="O12" s="20">
        <f>MAX('Fərziyyələr'!$B$18,I12*'Fərziyyələr'!$B$17)</f>
        <v/>
      </c>
      <c r="P12" s="20" t="n">
        <v>1800</v>
      </c>
      <c r="Q12" s="20">
        <f>'Fərziyyələr'!$B$19+0</f>
        <v/>
      </c>
      <c r="R12" s="20">
        <f>I12*'Fərziyyələr'!$B$9</f>
        <v/>
      </c>
      <c r="S12" s="21">
        <f>L12+M12+N12+O12+P12+Q12+R12</f>
        <v/>
      </c>
      <c r="T12" s="20">
        <f>I12-S12</f>
        <v/>
      </c>
      <c r="U12" s="20">
        <f>U11+T12</f>
        <v/>
      </c>
    </row>
    <row r="13">
      <c r="A13" s="6" t="n">
        <v>11</v>
      </c>
      <c r="B13" s="6" t="inlineStr">
        <is>
          <t>2027-05</t>
        </is>
      </c>
      <c r="C13" s="20">
        <f>C12*(1+'Fərziyyələr'!$B$4)</f>
        <v/>
      </c>
      <c r="D13" s="20">
        <f>C13*'Fərziyyələr'!$B$5</f>
        <v/>
      </c>
      <c r="E13" s="20">
        <f>E12*(1-'Fərziyyələr'!$B$7)+D13*'Fərziyyələr'!$B$6</f>
        <v/>
      </c>
      <c r="F13" s="20">
        <f>E13*'Fərziyyələr'!$B$8</f>
        <v/>
      </c>
      <c r="G13" s="20">
        <f>G12*(1+'Fərziyyələr'!$B$11)</f>
        <v/>
      </c>
      <c r="H13" s="20">
        <f>G13*'Fərziyyələr'!$B$12</f>
        <v/>
      </c>
      <c r="I13" s="21">
        <f>F13+H13</f>
        <v/>
      </c>
      <c r="J13" s="22" t="n">
        <v>8</v>
      </c>
      <c r="K13" s="20" t="n">
        <v>11500</v>
      </c>
      <c r="L13" s="20">
        <f>K13*(1+'Fərziyyələr'!$B$13)</f>
        <v/>
      </c>
      <c r="M13" s="20">
        <f>'Fərziyyələr'!$B$14+C13/10000*'Fərziyyələr'!$B$15</f>
        <v/>
      </c>
      <c r="N13" s="20">
        <f>J13*'Fərziyyələr'!$B$16</f>
        <v/>
      </c>
      <c r="O13" s="20">
        <f>MAX('Fərziyyələr'!$B$18,I13*'Fərziyyələr'!$B$17)</f>
        <v/>
      </c>
      <c r="P13" s="20" t="n">
        <v>0</v>
      </c>
      <c r="Q13" s="20">
        <f>'Fərziyyələr'!$B$19+0</f>
        <v/>
      </c>
      <c r="R13" s="20">
        <f>I13*'Fərziyyələr'!$B$9</f>
        <v/>
      </c>
      <c r="S13" s="21">
        <f>L13+M13+N13+O13+P13+Q13+R13</f>
        <v/>
      </c>
      <c r="T13" s="20">
        <f>I13-S13</f>
        <v/>
      </c>
      <c r="U13" s="20">
        <f>U12+T13</f>
        <v/>
      </c>
    </row>
    <row r="14">
      <c r="A14" s="6" t="n">
        <v>12</v>
      </c>
      <c r="B14" s="6" t="inlineStr">
        <is>
          <t>2027-06</t>
        </is>
      </c>
      <c r="C14" s="20">
        <f>C13*(1+'Fərziyyələr'!$B$4)</f>
        <v/>
      </c>
      <c r="D14" s="20">
        <f>C14*'Fərziyyələr'!$B$5</f>
        <v/>
      </c>
      <c r="E14" s="20">
        <f>E13*(1-'Fərziyyələr'!$B$7)+D14*'Fərziyyələr'!$B$6</f>
        <v/>
      </c>
      <c r="F14" s="20">
        <f>E14*'Fərziyyələr'!$B$8</f>
        <v/>
      </c>
      <c r="G14" s="20">
        <f>G13*(1+'Fərziyyələr'!$B$11)</f>
        <v/>
      </c>
      <c r="H14" s="20">
        <f>G14*'Fərziyyələr'!$B$12</f>
        <v/>
      </c>
      <c r="I14" s="21">
        <f>F14+H14</f>
        <v/>
      </c>
      <c r="J14" s="22" t="n">
        <v>8</v>
      </c>
      <c r="K14" s="20" t="n">
        <v>11500</v>
      </c>
      <c r="L14" s="20">
        <f>K14*(1+'Fərziyyələr'!$B$13)</f>
        <v/>
      </c>
      <c r="M14" s="20">
        <f>'Fərziyyələr'!$B$14+C14/10000*'Fərziyyələr'!$B$15</f>
        <v/>
      </c>
      <c r="N14" s="20">
        <f>J14*'Fərziyyələr'!$B$16</f>
        <v/>
      </c>
      <c r="O14" s="20">
        <f>MAX('Fərziyyələr'!$B$18,I14*'Fərziyyələr'!$B$17)</f>
        <v/>
      </c>
      <c r="P14" s="20" t="n">
        <v>0</v>
      </c>
      <c r="Q14" s="20">
        <f>'Fərziyyələr'!$B$19+0</f>
        <v/>
      </c>
      <c r="R14" s="20">
        <f>I14*'Fərziyyələr'!$B$9</f>
        <v/>
      </c>
      <c r="S14" s="21">
        <f>L14+M14+N14+O14+P14+Q14+R14</f>
        <v/>
      </c>
      <c r="T14" s="20">
        <f>I14-S14</f>
        <v/>
      </c>
      <c r="U14" s="20">
        <f>U13+T14</f>
        <v/>
      </c>
    </row>
    <row r="15">
      <c r="A15" s="6" t="n">
        <v>13</v>
      </c>
      <c r="B15" s="6" t="inlineStr">
        <is>
          <t>2027-07</t>
        </is>
      </c>
      <c r="C15" s="20">
        <f>C14*(1+'Fərziyyələr'!$B$4)</f>
        <v/>
      </c>
      <c r="D15" s="20">
        <f>C15*'Fərziyyələr'!$B$5</f>
        <v/>
      </c>
      <c r="E15" s="20">
        <f>E14*(1-'Fərziyyələr'!$B$7)+D15*'Fərziyyələr'!$B$6</f>
        <v/>
      </c>
      <c r="F15" s="20">
        <f>E15*'Fərziyyələr'!$B$8</f>
        <v/>
      </c>
      <c r="G15" s="20">
        <f>G14*(1+'Fərziyyələr'!$B$11)</f>
        <v/>
      </c>
      <c r="H15" s="20">
        <f>G15*'Fərziyyələr'!$B$12</f>
        <v/>
      </c>
      <c r="I15" s="21">
        <f>F15+H15</f>
        <v/>
      </c>
      <c r="J15" s="22" t="n">
        <v>9</v>
      </c>
      <c r="K15" s="20" t="n">
        <v>12300</v>
      </c>
      <c r="L15" s="20">
        <f>K15*(1+'Fərziyyələr'!$B$13)</f>
        <v/>
      </c>
      <c r="M15" s="20">
        <f>'Fərziyyələr'!$B$14+C15/10000*'Fərziyyələr'!$B$15</f>
        <v/>
      </c>
      <c r="N15" s="20">
        <f>J15*'Fərziyyələr'!$B$16</f>
        <v/>
      </c>
      <c r="O15" s="20">
        <f>MAX('Fərziyyələr'!$B$18,I15*'Fərziyyələr'!$B$17)</f>
        <v/>
      </c>
      <c r="P15" s="20" t="n">
        <v>1100</v>
      </c>
      <c r="Q15" s="20">
        <f>'Fərziyyələr'!$B$19+300</f>
        <v/>
      </c>
      <c r="R15" s="20">
        <f>I15*'Fərziyyələr'!$B$9</f>
        <v/>
      </c>
      <c r="S15" s="21">
        <f>L15+M15+N15+O15+P15+Q15+R15</f>
        <v/>
      </c>
      <c r="T15" s="20">
        <f>I15-S15</f>
        <v/>
      </c>
      <c r="U15" s="20">
        <f>U14+T15</f>
        <v/>
      </c>
    </row>
    <row r="16">
      <c r="A16" s="6" t="n">
        <v>14</v>
      </c>
      <c r="B16" s="6" t="inlineStr">
        <is>
          <t>2027-08</t>
        </is>
      </c>
      <c r="C16" s="20">
        <f>C15*(1+'Fərziyyələr'!$B$4)</f>
        <v/>
      </c>
      <c r="D16" s="20">
        <f>C16*'Fərziyyələr'!$B$5</f>
        <v/>
      </c>
      <c r="E16" s="20">
        <f>E15*(1-'Fərziyyələr'!$B$7)+D16*'Fərziyyələr'!$B$6</f>
        <v/>
      </c>
      <c r="F16" s="20">
        <f>E16*'Fərziyyələr'!$B$8</f>
        <v/>
      </c>
      <c r="G16" s="20">
        <f>G15*(1+'Fərziyyələr'!$B$11)</f>
        <v/>
      </c>
      <c r="H16" s="20">
        <f>G16*'Fərziyyələr'!$B$12</f>
        <v/>
      </c>
      <c r="I16" s="21">
        <f>F16+H16</f>
        <v/>
      </c>
      <c r="J16" s="22" t="n">
        <v>9</v>
      </c>
      <c r="K16" s="20" t="n">
        <v>12300</v>
      </c>
      <c r="L16" s="20">
        <f>K16*(1+'Fərziyyələr'!$B$13)</f>
        <v/>
      </c>
      <c r="M16" s="20">
        <f>'Fərziyyələr'!$B$14+C16/10000*'Fərziyyələr'!$B$15</f>
        <v/>
      </c>
      <c r="N16" s="20">
        <f>J16*'Fərziyyələr'!$B$16</f>
        <v/>
      </c>
      <c r="O16" s="20">
        <f>MAX('Fərziyyələr'!$B$18,I16*'Fərziyyələr'!$B$17)</f>
        <v/>
      </c>
      <c r="P16" s="20" t="n">
        <v>0</v>
      </c>
      <c r="Q16" s="20">
        <f>'Fərziyyələr'!$B$19+300</f>
        <v/>
      </c>
      <c r="R16" s="20">
        <f>I16*'Fərziyyələr'!$B$9</f>
        <v/>
      </c>
      <c r="S16" s="21">
        <f>L16+M16+N16+O16+P16+Q16+R16</f>
        <v/>
      </c>
      <c r="T16" s="20">
        <f>I16-S16</f>
        <v/>
      </c>
      <c r="U16" s="20">
        <f>U15+T16</f>
        <v/>
      </c>
    </row>
    <row r="17">
      <c r="A17" s="6" t="n">
        <v>15</v>
      </c>
      <c r="B17" s="6" t="inlineStr">
        <is>
          <t>2027-09</t>
        </is>
      </c>
      <c r="C17" s="20">
        <f>C16*(1+'Fərziyyələr'!$B$4)</f>
        <v/>
      </c>
      <c r="D17" s="20">
        <f>C17*'Fərziyyələr'!$B$5</f>
        <v/>
      </c>
      <c r="E17" s="20">
        <f>E16*(1-'Fərziyyələr'!$B$7)+D17*'Fərziyyələr'!$B$6</f>
        <v/>
      </c>
      <c r="F17" s="20">
        <f>E17*'Fərziyyələr'!$B$8</f>
        <v/>
      </c>
      <c r="G17" s="20">
        <f>G16*(1+'Fərziyyələr'!$B$11)</f>
        <v/>
      </c>
      <c r="H17" s="20">
        <f>G17*'Fərziyyələr'!$B$12</f>
        <v/>
      </c>
      <c r="I17" s="21">
        <f>F17+H17</f>
        <v/>
      </c>
      <c r="J17" s="22" t="n">
        <v>9</v>
      </c>
      <c r="K17" s="20" t="n">
        <v>12300</v>
      </c>
      <c r="L17" s="20">
        <f>K17*(1+'Fərziyyələr'!$B$13)</f>
        <v/>
      </c>
      <c r="M17" s="20">
        <f>'Fərziyyələr'!$B$14+C17/10000*'Fərziyyələr'!$B$15</f>
        <v/>
      </c>
      <c r="N17" s="20">
        <f>J17*'Fərziyyələr'!$B$16</f>
        <v/>
      </c>
      <c r="O17" s="20">
        <f>MAX('Fərziyyələr'!$B$18,I17*'Fərziyyələr'!$B$17)</f>
        <v/>
      </c>
      <c r="P17" s="20" t="n">
        <v>0</v>
      </c>
      <c r="Q17" s="20">
        <f>'Fərziyyələr'!$B$19+300</f>
        <v/>
      </c>
      <c r="R17" s="20">
        <f>I17*'Fərziyyələr'!$B$9</f>
        <v/>
      </c>
      <c r="S17" s="21">
        <f>L17+M17+N17+O17+P17+Q17+R17</f>
        <v/>
      </c>
      <c r="T17" s="20">
        <f>I17-S17</f>
        <v/>
      </c>
      <c r="U17" s="20">
        <f>U16+T17</f>
        <v/>
      </c>
    </row>
    <row r="18">
      <c r="A18" s="6" t="n">
        <v>16</v>
      </c>
      <c r="B18" s="6" t="inlineStr">
        <is>
          <t>2027-10</t>
        </is>
      </c>
      <c r="C18" s="20">
        <f>C17*(1+'Fərziyyələr'!$B$4)</f>
        <v/>
      </c>
      <c r="D18" s="20">
        <f>C18*'Fərziyyələr'!$B$5</f>
        <v/>
      </c>
      <c r="E18" s="20">
        <f>E17*(1-'Fərziyyələr'!$B$7)+D18*'Fərziyyələr'!$B$6</f>
        <v/>
      </c>
      <c r="F18" s="20">
        <f>E18*'Fərziyyələr'!$B$8</f>
        <v/>
      </c>
      <c r="G18" s="20">
        <f>G17*(1+'Fərziyyələr'!$B$11)</f>
        <v/>
      </c>
      <c r="H18" s="20">
        <f>G18*'Fərziyyələr'!$B$12</f>
        <v/>
      </c>
      <c r="I18" s="21">
        <f>F18+H18</f>
        <v/>
      </c>
      <c r="J18" s="22" t="n">
        <v>9</v>
      </c>
      <c r="K18" s="20" t="n">
        <v>12300</v>
      </c>
      <c r="L18" s="20">
        <f>K18*(1+'Fərziyyələr'!$B$13)</f>
        <v/>
      </c>
      <c r="M18" s="20">
        <f>'Fərziyyələr'!$B$14+C18/10000*'Fərziyyələr'!$B$15</f>
        <v/>
      </c>
      <c r="N18" s="20">
        <f>J18*'Fərziyyələr'!$B$16</f>
        <v/>
      </c>
      <c r="O18" s="20">
        <f>MAX('Fərziyyələr'!$B$18,I18*'Fərziyyələr'!$B$17)</f>
        <v/>
      </c>
      <c r="P18" s="20" t="n">
        <v>0</v>
      </c>
      <c r="Q18" s="20">
        <f>'Fərziyyələr'!$B$19+300</f>
        <v/>
      </c>
      <c r="R18" s="20">
        <f>I18*'Fərziyyələr'!$B$9</f>
        <v/>
      </c>
      <c r="S18" s="21">
        <f>L18+M18+N18+O18+P18+Q18+R18</f>
        <v/>
      </c>
      <c r="T18" s="20">
        <f>I18-S18</f>
        <v/>
      </c>
      <c r="U18" s="20">
        <f>U17+T18</f>
        <v/>
      </c>
    </row>
    <row r="19">
      <c r="A19" s="6" t="n">
        <v>17</v>
      </c>
      <c r="B19" s="6" t="inlineStr">
        <is>
          <t>2027-11</t>
        </is>
      </c>
      <c r="C19" s="20">
        <f>C18*(1+'Fərziyyələr'!$B$4)</f>
        <v/>
      </c>
      <c r="D19" s="20">
        <f>C19*'Fərziyyələr'!$B$5</f>
        <v/>
      </c>
      <c r="E19" s="20">
        <f>E18*(1-'Fərziyyələr'!$B$7)+D19*'Fərziyyələr'!$B$6</f>
        <v/>
      </c>
      <c r="F19" s="20">
        <f>E19*'Fərziyyələr'!$B$8</f>
        <v/>
      </c>
      <c r="G19" s="20">
        <f>G18*(1+'Fərziyyələr'!$B$11)</f>
        <v/>
      </c>
      <c r="H19" s="20">
        <f>G19*'Fərziyyələr'!$B$12</f>
        <v/>
      </c>
      <c r="I19" s="21">
        <f>F19+H19</f>
        <v/>
      </c>
      <c r="J19" s="22" t="n">
        <v>9</v>
      </c>
      <c r="K19" s="20" t="n">
        <v>12300</v>
      </c>
      <c r="L19" s="20">
        <f>K19*(1+'Fərziyyələr'!$B$13)</f>
        <v/>
      </c>
      <c r="M19" s="20">
        <f>'Fərziyyələr'!$B$14+C19/10000*'Fərziyyələr'!$B$15</f>
        <v/>
      </c>
      <c r="N19" s="20">
        <f>J19*'Fərziyyələr'!$B$16</f>
        <v/>
      </c>
      <c r="O19" s="20">
        <f>MAX('Fərziyyələr'!$B$18,I19*'Fərziyyələr'!$B$17)</f>
        <v/>
      </c>
      <c r="P19" s="20" t="n">
        <v>0</v>
      </c>
      <c r="Q19" s="20">
        <f>'Fərziyyələr'!$B$19+300</f>
        <v/>
      </c>
      <c r="R19" s="20">
        <f>I19*'Fərziyyələr'!$B$9</f>
        <v/>
      </c>
      <c r="S19" s="21">
        <f>L19+M19+N19+O19+P19+Q19+R19</f>
        <v/>
      </c>
      <c r="T19" s="20">
        <f>I19-S19</f>
        <v/>
      </c>
      <c r="U19" s="20">
        <f>U18+T19</f>
        <v/>
      </c>
    </row>
    <row r="20">
      <c r="A20" s="6" t="n">
        <v>18</v>
      </c>
      <c r="B20" s="6" t="inlineStr">
        <is>
          <t>2027-12</t>
        </is>
      </c>
      <c r="C20" s="20">
        <f>C19*(1+'Fərziyyələr'!$B$4)</f>
        <v/>
      </c>
      <c r="D20" s="20">
        <f>C20*'Fərziyyələr'!$B$5</f>
        <v/>
      </c>
      <c r="E20" s="20">
        <f>E19*(1-'Fərziyyələr'!$B$7)+D20*'Fərziyyələr'!$B$6</f>
        <v/>
      </c>
      <c r="F20" s="20">
        <f>E20*'Fərziyyələr'!$B$8</f>
        <v/>
      </c>
      <c r="G20" s="20">
        <f>G19*(1+'Fərziyyələr'!$B$11)</f>
        <v/>
      </c>
      <c r="H20" s="20">
        <f>G20*'Fərziyyələr'!$B$12</f>
        <v/>
      </c>
      <c r="I20" s="21">
        <f>F20+H20</f>
        <v/>
      </c>
      <c r="J20" s="22" t="n">
        <v>9</v>
      </c>
      <c r="K20" s="20" t="n">
        <v>12300</v>
      </c>
      <c r="L20" s="20">
        <f>K20*(1+'Fərziyyələr'!$B$13)</f>
        <v/>
      </c>
      <c r="M20" s="20">
        <f>'Fərziyyələr'!$B$14+C20/10000*'Fərziyyələr'!$B$15</f>
        <v/>
      </c>
      <c r="N20" s="20">
        <f>J20*'Fərziyyələr'!$B$16</f>
        <v/>
      </c>
      <c r="O20" s="20">
        <f>MAX('Fərziyyələr'!$B$18,I20*'Fərziyyələr'!$B$17)</f>
        <v/>
      </c>
      <c r="P20" s="20" t="n">
        <v>0</v>
      </c>
      <c r="Q20" s="20">
        <f>'Fərziyyələr'!$B$19+300</f>
        <v/>
      </c>
      <c r="R20" s="20">
        <f>I20*'Fərziyyələr'!$B$9</f>
        <v/>
      </c>
      <c r="S20" s="21">
        <f>L20+M20+N20+O20+P20+Q20+R20</f>
        <v/>
      </c>
      <c r="T20" s="20">
        <f>I20-S20</f>
        <v/>
      </c>
      <c r="U20" s="20">
        <f>U19+T20</f>
        <v/>
      </c>
    </row>
    <row r="21">
      <c r="A21" s="6" t="n">
        <v>19</v>
      </c>
      <c r="B21" s="6" t="inlineStr">
        <is>
          <t>2028-01</t>
        </is>
      </c>
      <c r="C21" s="20">
        <f>C20*(1+'Fərziyyələr'!$B$4)</f>
        <v/>
      </c>
      <c r="D21" s="20">
        <f>C21*'Fərziyyələr'!$B$5</f>
        <v/>
      </c>
      <c r="E21" s="20">
        <f>E20*(1-'Fərziyyələr'!$B$7)+D21*'Fərziyyələr'!$B$6</f>
        <v/>
      </c>
      <c r="F21" s="20">
        <f>E21*'Fərziyyələr'!$B$8</f>
        <v/>
      </c>
      <c r="G21" s="20">
        <f>G20*(1+'Fərziyyələr'!$B$11)</f>
        <v/>
      </c>
      <c r="H21" s="20">
        <f>G21*'Fərziyyələr'!$B$12</f>
        <v/>
      </c>
      <c r="I21" s="21">
        <f>F21+H21</f>
        <v/>
      </c>
      <c r="J21" s="22" t="n">
        <v>10</v>
      </c>
      <c r="K21" s="20" t="n">
        <v>13800</v>
      </c>
      <c r="L21" s="20">
        <f>K21*(1+'Fərziyyələr'!$B$13)</f>
        <v/>
      </c>
      <c r="M21" s="20">
        <f>'Fərziyyələr'!$B$14+C21/10000*'Fərziyyələr'!$B$15</f>
        <v/>
      </c>
      <c r="N21" s="20">
        <f>J21*'Fərziyyələr'!$B$16</f>
        <v/>
      </c>
      <c r="O21" s="20">
        <f>MAX('Fərziyyələr'!$B$18,I21*'Fərziyyələr'!$B$17)</f>
        <v/>
      </c>
      <c r="P21" s="20" t="n">
        <v>1800</v>
      </c>
      <c r="Q21" s="20">
        <f>'Fərziyyələr'!$B$19+300</f>
        <v/>
      </c>
      <c r="R21" s="20">
        <f>I21*'Fərziyyələr'!$B$9</f>
        <v/>
      </c>
      <c r="S21" s="21">
        <f>L21+M21+N21+O21+P21+Q21+R21</f>
        <v/>
      </c>
      <c r="T21" s="20">
        <f>I21-S21</f>
        <v/>
      </c>
      <c r="U21" s="20">
        <f>U20+T21</f>
        <v/>
      </c>
    </row>
    <row r="22">
      <c r="A22" s="6" t="n">
        <v>20</v>
      </c>
      <c r="B22" s="6" t="inlineStr">
        <is>
          <t>2028-02</t>
        </is>
      </c>
      <c r="C22" s="20">
        <f>C21*(1+'Fərziyyələr'!$B$4)</f>
        <v/>
      </c>
      <c r="D22" s="20">
        <f>C22*'Fərziyyələr'!$B$5</f>
        <v/>
      </c>
      <c r="E22" s="20">
        <f>E21*(1-'Fərziyyələr'!$B$7)+D22*'Fərziyyələr'!$B$6</f>
        <v/>
      </c>
      <c r="F22" s="20">
        <f>E22*'Fərziyyələr'!$B$8</f>
        <v/>
      </c>
      <c r="G22" s="20">
        <f>G21*(1+'Fərziyyələr'!$B$11)</f>
        <v/>
      </c>
      <c r="H22" s="20">
        <f>G22*'Fərziyyələr'!$B$12</f>
        <v/>
      </c>
      <c r="I22" s="21">
        <f>F22+H22</f>
        <v/>
      </c>
      <c r="J22" s="22" t="n">
        <v>10</v>
      </c>
      <c r="K22" s="20" t="n">
        <v>13800</v>
      </c>
      <c r="L22" s="20">
        <f>K22*(1+'Fərziyyələr'!$B$13)</f>
        <v/>
      </c>
      <c r="M22" s="20">
        <f>'Fərziyyələr'!$B$14+C22/10000*'Fərziyyələr'!$B$15</f>
        <v/>
      </c>
      <c r="N22" s="20">
        <f>J22*'Fərziyyələr'!$B$16</f>
        <v/>
      </c>
      <c r="O22" s="20">
        <f>MAX('Fərziyyələr'!$B$18,I22*'Fərziyyələr'!$B$17)</f>
        <v/>
      </c>
      <c r="P22" s="20" t="n">
        <v>0</v>
      </c>
      <c r="Q22" s="20">
        <f>'Fərziyyələr'!$B$19+300</f>
        <v/>
      </c>
      <c r="R22" s="20">
        <f>I22*'Fərziyyələr'!$B$9</f>
        <v/>
      </c>
      <c r="S22" s="21">
        <f>L22+M22+N22+O22+P22+Q22+R22</f>
        <v/>
      </c>
      <c r="T22" s="20">
        <f>I22-S22</f>
        <v/>
      </c>
      <c r="U22" s="20">
        <f>U21+T22</f>
        <v/>
      </c>
    </row>
    <row r="23">
      <c r="A23" s="6" t="n">
        <v>21</v>
      </c>
      <c r="B23" s="6" t="inlineStr">
        <is>
          <t>2028-03</t>
        </is>
      </c>
      <c r="C23" s="20">
        <f>C22*(1+'Fərziyyələr'!$B$4)</f>
        <v/>
      </c>
      <c r="D23" s="20">
        <f>C23*'Fərziyyələr'!$B$5</f>
        <v/>
      </c>
      <c r="E23" s="20">
        <f>E22*(1-'Fərziyyələr'!$B$7)+D23*'Fərziyyələr'!$B$6</f>
        <v/>
      </c>
      <c r="F23" s="20">
        <f>E23*'Fərziyyələr'!$B$8</f>
        <v/>
      </c>
      <c r="G23" s="20">
        <f>G22*(1+'Fərziyyələr'!$B$11)</f>
        <v/>
      </c>
      <c r="H23" s="20">
        <f>G23*'Fərziyyələr'!$B$12</f>
        <v/>
      </c>
      <c r="I23" s="21">
        <f>F23+H23</f>
        <v/>
      </c>
      <c r="J23" s="22" t="n">
        <v>10</v>
      </c>
      <c r="K23" s="20" t="n">
        <v>13800</v>
      </c>
      <c r="L23" s="20">
        <f>K23*(1+'Fərziyyələr'!$B$13)</f>
        <v/>
      </c>
      <c r="M23" s="20">
        <f>'Fərziyyələr'!$B$14+C23/10000*'Fərziyyələr'!$B$15</f>
        <v/>
      </c>
      <c r="N23" s="20">
        <f>J23*'Fərziyyələr'!$B$16</f>
        <v/>
      </c>
      <c r="O23" s="20">
        <f>MAX('Fərziyyələr'!$B$18,I23*'Fərziyyələr'!$B$17)</f>
        <v/>
      </c>
      <c r="P23" s="20" t="n">
        <v>0</v>
      </c>
      <c r="Q23" s="20">
        <f>'Fərziyyələr'!$B$19+300</f>
        <v/>
      </c>
      <c r="R23" s="20">
        <f>I23*'Fərziyyələr'!$B$9</f>
        <v/>
      </c>
      <c r="S23" s="21">
        <f>L23+M23+N23+O23+P23+Q23+R23</f>
        <v/>
      </c>
      <c r="T23" s="20">
        <f>I23-S23</f>
        <v/>
      </c>
      <c r="U23" s="20">
        <f>U22+T23</f>
        <v/>
      </c>
    </row>
    <row r="24">
      <c r="A24" s="6" t="n">
        <v>22</v>
      </c>
      <c r="B24" s="6" t="inlineStr">
        <is>
          <t>2028-04</t>
        </is>
      </c>
      <c r="C24" s="20">
        <f>C23*(1+'Fərziyyələr'!$B$4)</f>
        <v/>
      </c>
      <c r="D24" s="20">
        <f>C24*'Fərziyyələr'!$B$5</f>
        <v/>
      </c>
      <c r="E24" s="20">
        <f>E23*(1-'Fərziyyələr'!$B$7)+D24*'Fərziyyələr'!$B$6</f>
        <v/>
      </c>
      <c r="F24" s="20">
        <f>E24*'Fərziyyələr'!$B$8</f>
        <v/>
      </c>
      <c r="G24" s="20">
        <f>G23*(1+'Fərziyyələr'!$B$11)</f>
        <v/>
      </c>
      <c r="H24" s="20">
        <f>G24*'Fərziyyələr'!$B$12</f>
        <v/>
      </c>
      <c r="I24" s="21">
        <f>F24+H24</f>
        <v/>
      </c>
      <c r="J24" s="22" t="n">
        <v>10</v>
      </c>
      <c r="K24" s="20" t="n">
        <v>13800</v>
      </c>
      <c r="L24" s="20">
        <f>K24*(1+'Fərziyyələr'!$B$13)</f>
        <v/>
      </c>
      <c r="M24" s="20">
        <f>'Fərziyyələr'!$B$14+C24/10000*'Fərziyyələr'!$B$15</f>
        <v/>
      </c>
      <c r="N24" s="20">
        <f>J24*'Fərziyyələr'!$B$16</f>
        <v/>
      </c>
      <c r="O24" s="20">
        <f>MAX('Fərziyyələr'!$B$18,I24*'Fərziyyələr'!$B$17)</f>
        <v/>
      </c>
      <c r="P24" s="20" t="n">
        <v>0</v>
      </c>
      <c r="Q24" s="20">
        <f>'Fərziyyələr'!$B$19+300</f>
        <v/>
      </c>
      <c r="R24" s="20">
        <f>I24*'Fərziyyələr'!$B$9</f>
        <v/>
      </c>
      <c r="S24" s="21">
        <f>L24+M24+N24+O24+P24+Q24+R24</f>
        <v/>
      </c>
      <c r="T24" s="20">
        <f>I24-S24</f>
        <v/>
      </c>
      <c r="U24" s="20">
        <f>U23+T24</f>
        <v/>
      </c>
    </row>
    <row r="25">
      <c r="A25" s="6" t="n">
        <v>23</v>
      </c>
      <c r="B25" s="6" t="inlineStr">
        <is>
          <t>2028-05</t>
        </is>
      </c>
      <c r="C25" s="20">
        <f>C24*(1+'Fərziyyələr'!$B$4)</f>
        <v/>
      </c>
      <c r="D25" s="20">
        <f>C25*'Fərziyyələr'!$B$5</f>
        <v/>
      </c>
      <c r="E25" s="20">
        <f>E24*(1-'Fərziyyələr'!$B$7)+D25*'Fərziyyələr'!$B$6</f>
        <v/>
      </c>
      <c r="F25" s="20">
        <f>E25*'Fərziyyələr'!$B$8</f>
        <v/>
      </c>
      <c r="G25" s="20">
        <f>G24*(1+'Fərziyyələr'!$B$11)</f>
        <v/>
      </c>
      <c r="H25" s="20">
        <f>G25*'Fərziyyələr'!$B$12</f>
        <v/>
      </c>
      <c r="I25" s="21">
        <f>F25+H25</f>
        <v/>
      </c>
      <c r="J25" s="22" t="n">
        <v>10</v>
      </c>
      <c r="K25" s="20" t="n">
        <v>13800</v>
      </c>
      <c r="L25" s="20">
        <f>K25*(1+'Fərziyyələr'!$B$13)</f>
        <v/>
      </c>
      <c r="M25" s="20">
        <f>'Fərziyyələr'!$B$14+C25/10000*'Fərziyyələr'!$B$15</f>
        <v/>
      </c>
      <c r="N25" s="20">
        <f>J25*'Fərziyyələr'!$B$16</f>
        <v/>
      </c>
      <c r="O25" s="20">
        <f>MAX('Fərziyyələr'!$B$18,I25*'Fərziyyələr'!$B$17)</f>
        <v/>
      </c>
      <c r="P25" s="20" t="n">
        <v>0</v>
      </c>
      <c r="Q25" s="20">
        <f>'Fərziyyələr'!$B$19+300</f>
        <v/>
      </c>
      <c r="R25" s="20">
        <f>I25*'Fərziyyələr'!$B$9</f>
        <v/>
      </c>
      <c r="S25" s="21">
        <f>L25+M25+N25+O25+P25+Q25+R25</f>
        <v/>
      </c>
      <c r="T25" s="20">
        <f>I25-S25</f>
        <v/>
      </c>
      <c r="U25" s="20">
        <f>U24+T25</f>
        <v/>
      </c>
    </row>
    <row r="26">
      <c r="A26" s="6" t="n">
        <v>24</v>
      </c>
      <c r="B26" s="6" t="inlineStr">
        <is>
          <t>2028-06</t>
        </is>
      </c>
      <c r="C26" s="20">
        <f>C25*(1+'Fərziyyələr'!$B$4)</f>
        <v/>
      </c>
      <c r="D26" s="20">
        <f>C26*'Fərziyyələr'!$B$5</f>
        <v/>
      </c>
      <c r="E26" s="20">
        <f>E25*(1-'Fərziyyələr'!$B$7)+D26*'Fərziyyələr'!$B$6</f>
        <v/>
      </c>
      <c r="F26" s="20">
        <f>E26*'Fərziyyələr'!$B$8</f>
        <v/>
      </c>
      <c r="G26" s="20">
        <f>G25*(1+'Fərziyyələr'!$B$11)</f>
        <v/>
      </c>
      <c r="H26" s="20">
        <f>G26*'Fərziyyələr'!$B$12</f>
        <v/>
      </c>
      <c r="I26" s="21">
        <f>F26+H26</f>
        <v/>
      </c>
      <c r="J26" s="22" t="n">
        <v>10</v>
      </c>
      <c r="K26" s="20" t="n">
        <v>13800</v>
      </c>
      <c r="L26" s="20">
        <f>K26*(1+'Fərziyyələr'!$B$13)</f>
        <v/>
      </c>
      <c r="M26" s="20">
        <f>'Fərziyyələr'!$B$14+C26/10000*'Fərziyyələr'!$B$15</f>
        <v/>
      </c>
      <c r="N26" s="20">
        <f>J26*'Fərziyyələr'!$B$16</f>
        <v/>
      </c>
      <c r="O26" s="20">
        <f>MAX('Fərziyyələr'!$B$18,I26*'Fərziyyələr'!$B$17)</f>
        <v/>
      </c>
      <c r="P26" s="20" t="n">
        <v>0</v>
      </c>
      <c r="Q26" s="20">
        <f>'Fərziyyələr'!$B$19+300</f>
        <v/>
      </c>
      <c r="R26" s="20">
        <f>I26*'Fərziyyələr'!$B$9</f>
        <v/>
      </c>
      <c r="S26" s="21">
        <f>L26+M26+N26+O26+P26+Q26+R26</f>
        <v/>
      </c>
      <c r="T26" s="20">
        <f>I26-S26</f>
        <v/>
      </c>
      <c r="U26" s="20">
        <f>U25+T26</f>
        <v/>
      </c>
    </row>
    <row r="27">
      <c r="A27" s="6" t="n">
        <v>25</v>
      </c>
      <c r="B27" s="6" t="inlineStr">
        <is>
          <t>2028-07</t>
        </is>
      </c>
      <c r="C27" s="20">
        <f>C26*(1+'Fərziyyələr'!$B$4)</f>
        <v/>
      </c>
      <c r="D27" s="20">
        <f>C27*'Fərziyyələr'!$B$5</f>
        <v/>
      </c>
      <c r="E27" s="20">
        <f>E26*(1-'Fərziyyələr'!$B$7)+D27*'Fərziyyələr'!$B$6</f>
        <v/>
      </c>
      <c r="F27" s="20">
        <f>E27*'Fərziyyələr'!$B$8</f>
        <v/>
      </c>
      <c r="G27" s="20">
        <f>G26*(1+'Fərziyyələr'!$B$11)</f>
        <v/>
      </c>
      <c r="H27" s="20">
        <f>G27*'Fərziyyələr'!$B$12</f>
        <v/>
      </c>
      <c r="I27" s="21">
        <f>F27+H27</f>
        <v/>
      </c>
      <c r="J27" s="22" t="n">
        <v>11</v>
      </c>
      <c r="K27" s="20" t="n">
        <v>15300</v>
      </c>
      <c r="L27" s="20">
        <f>K27*(1+'Fərziyyələr'!$B$13)</f>
        <v/>
      </c>
      <c r="M27" s="20">
        <f>'Fərziyyələr'!$B$14+C27/10000*'Fərziyyələr'!$B$15</f>
        <v/>
      </c>
      <c r="N27" s="20">
        <f>J27*'Fərziyyələr'!$B$16</f>
        <v/>
      </c>
      <c r="O27" s="20">
        <f>MAX('Fərziyyələr'!$B$18,I27*'Fərziyyələr'!$B$17)</f>
        <v/>
      </c>
      <c r="P27" s="20" t="n">
        <v>1100</v>
      </c>
      <c r="Q27" s="20">
        <f>'Fərziyyələr'!$B$19+700</f>
        <v/>
      </c>
      <c r="R27" s="20">
        <f>I27*'Fərziyyələr'!$B$9</f>
        <v/>
      </c>
      <c r="S27" s="21">
        <f>L27+M27+N27+O27+P27+Q27+R27</f>
        <v/>
      </c>
      <c r="T27" s="20">
        <f>I27-S27</f>
        <v/>
      </c>
      <c r="U27" s="20">
        <f>U26+T27</f>
        <v/>
      </c>
    </row>
    <row r="28">
      <c r="A28" s="6" t="n">
        <v>26</v>
      </c>
      <c r="B28" s="6" t="inlineStr">
        <is>
          <t>2028-08</t>
        </is>
      </c>
      <c r="C28" s="20">
        <f>C27*(1+'Fərziyyələr'!$B$4)</f>
        <v/>
      </c>
      <c r="D28" s="20">
        <f>C28*'Fərziyyələr'!$B$5</f>
        <v/>
      </c>
      <c r="E28" s="20">
        <f>E27*(1-'Fərziyyələr'!$B$7)+D28*'Fərziyyələr'!$B$6</f>
        <v/>
      </c>
      <c r="F28" s="20">
        <f>E28*'Fərziyyələr'!$B$8</f>
        <v/>
      </c>
      <c r="G28" s="20">
        <f>G27*(1+'Fərziyyələr'!$B$11)</f>
        <v/>
      </c>
      <c r="H28" s="20">
        <f>G28*'Fərziyyələr'!$B$12</f>
        <v/>
      </c>
      <c r="I28" s="21">
        <f>F28+H28</f>
        <v/>
      </c>
      <c r="J28" s="22" t="n">
        <v>11</v>
      </c>
      <c r="K28" s="20" t="n">
        <v>15300</v>
      </c>
      <c r="L28" s="20">
        <f>K28*(1+'Fərziyyələr'!$B$13)</f>
        <v/>
      </c>
      <c r="M28" s="20">
        <f>'Fərziyyələr'!$B$14+C28/10000*'Fərziyyələr'!$B$15</f>
        <v/>
      </c>
      <c r="N28" s="20">
        <f>J28*'Fərziyyələr'!$B$16</f>
        <v/>
      </c>
      <c r="O28" s="20">
        <f>MAX('Fərziyyələr'!$B$18,I28*'Fərziyyələr'!$B$17)</f>
        <v/>
      </c>
      <c r="P28" s="20" t="n">
        <v>0</v>
      </c>
      <c r="Q28" s="20">
        <f>'Fərziyyələr'!$B$19+700</f>
        <v/>
      </c>
      <c r="R28" s="20">
        <f>I28*'Fərziyyələr'!$B$9</f>
        <v/>
      </c>
      <c r="S28" s="21">
        <f>L28+M28+N28+O28+P28+Q28+R28</f>
        <v/>
      </c>
      <c r="T28" s="20">
        <f>I28-S28</f>
        <v/>
      </c>
      <c r="U28" s="20">
        <f>U27+T28</f>
        <v/>
      </c>
    </row>
    <row r="29">
      <c r="A29" s="6" t="n">
        <v>27</v>
      </c>
      <c r="B29" s="6" t="inlineStr">
        <is>
          <t>2028-09</t>
        </is>
      </c>
      <c r="C29" s="20">
        <f>C28*(1+'Fərziyyələr'!$B$4)</f>
        <v/>
      </c>
      <c r="D29" s="20">
        <f>C29*'Fərziyyələr'!$B$5</f>
        <v/>
      </c>
      <c r="E29" s="20">
        <f>E28*(1-'Fərziyyələr'!$B$7)+D29*'Fərziyyələr'!$B$6</f>
        <v/>
      </c>
      <c r="F29" s="20">
        <f>E29*'Fərziyyələr'!$B$8</f>
        <v/>
      </c>
      <c r="G29" s="20">
        <f>G28*(1+'Fərziyyələr'!$B$11)</f>
        <v/>
      </c>
      <c r="H29" s="20">
        <f>G29*'Fərziyyələr'!$B$12</f>
        <v/>
      </c>
      <c r="I29" s="21">
        <f>F29+H29</f>
        <v/>
      </c>
      <c r="J29" s="22" t="n">
        <v>11</v>
      </c>
      <c r="K29" s="20" t="n">
        <v>15300</v>
      </c>
      <c r="L29" s="20">
        <f>K29*(1+'Fərziyyələr'!$B$13)</f>
        <v/>
      </c>
      <c r="M29" s="20">
        <f>'Fərziyyələr'!$B$14+C29/10000*'Fərziyyələr'!$B$15</f>
        <v/>
      </c>
      <c r="N29" s="20">
        <f>J29*'Fərziyyələr'!$B$16</f>
        <v/>
      </c>
      <c r="O29" s="20">
        <f>MAX('Fərziyyələr'!$B$18,I29*'Fərziyyələr'!$B$17)</f>
        <v/>
      </c>
      <c r="P29" s="20" t="n">
        <v>0</v>
      </c>
      <c r="Q29" s="20">
        <f>'Fərziyyələr'!$B$19+700</f>
        <v/>
      </c>
      <c r="R29" s="20">
        <f>I29*'Fərziyyələr'!$B$9</f>
        <v/>
      </c>
      <c r="S29" s="21">
        <f>L29+M29+N29+O29+P29+Q29+R29</f>
        <v/>
      </c>
      <c r="T29" s="20">
        <f>I29-S29</f>
        <v/>
      </c>
      <c r="U29" s="20">
        <f>U28+T29</f>
        <v/>
      </c>
    </row>
    <row r="30">
      <c r="A30" s="6" t="n">
        <v>28</v>
      </c>
      <c r="B30" s="6" t="inlineStr">
        <is>
          <t>2028-10</t>
        </is>
      </c>
      <c r="C30" s="20">
        <f>C29*(1+'Fərziyyələr'!$B$4)</f>
        <v/>
      </c>
      <c r="D30" s="20">
        <f>C30*'Fərziyyələr'!$B$5</f>
        <v/>
      </c>
      <c r="E30" s="20">
        <f>E29*(1-'Fərziyyələr'!$B$7)+D30*'Fərziyyələr'!$B$6</f>
        <v/>
      </c>
      <c r="F30" s="20">
        <f>E30*'Fərziyyələr'!$B$8</f>
        <v/>
      </c>
      <c r="G30" s="20">
        <f>G29*(1+'Fərziyyələr'!$B$11)</f>
        <v/>
      </c>
      <c r="H30" s="20">
        <f>G30*'Fərziyyələr'!$B$12</f>
        <v/>
      </c>
      <c r="I30" s="21">
        <f>F30+H30</f>
        <v/>
      </c>
      <c r="J30" s="22" t="n">
        <v>11</v>
      </c>
      <c r="K30" s="20" t="n">
        <v>15300</v>
      </c>
      <c r="L30" s="20">
        <f>K30*(1+'Fərziyyələr'!$B$13)</f>
        <v/>
      </c>
      <c r="M30" s="20">
        <f>'Fərziyyələr'!$B$14+C30/10000*'Fərziyyələr'!$B$15</f>
        <v/>
      </c>
      <c r="N30" s="20">
        <f>J30*'Fərziyyələr'!$B$16</f>
        <v/>
      </c>
      <c r="O30" s="20">
        <f>MAX('Fərziyyələr'!$B$18,I30*'Fərziyyələr'!$B$17)</f>
        <v/>
      </c>
      <c r="P30" s="20" t="n">
        <v>0</v>
      </c>
      <c r="Q30" s="20">
        <f>'Fərziyyələr'!$B$19+700</f>
        <v/>
      </c>
      <c r="R30" s="20">
        <f>I30*'Fərziyyələr'!$B$9</f>
        <v/>
      </c>
      <c r="S30" s="21">
        <f>L30+M30+N30+O30+P30+Q30+R30</f>
        <v/>
      </c>
      <c r="T30" s="20">
        <f>I30-S30</f>
        <v/>
      </c>
      <c r="U30" s="20">
        <f>U29+T30</f>
        <v/>
      </c>
    </row>
    <row r="31">
      <c r="A31" s="6" t="n">
        <v>29</v>
      </c>
      <c r="B31" s="6" t="inlineStr">
        <is>
          <t>2028-11</t>
        </is>
      </c>
      <c r="C31" s="20">
        <f>C30*(1+'Fərziyyələr'!$B$4)</f>
        <v/>
      </c>
      <c r="D31" s="20">
        <f>C31*'Fərziyyələr'!$B$5</f>
        <v/>
      </c>
      <c r="E31" s="20">
        <f>E30*(1-'Fərziyyələr'!$B$7)+D31*'Fərziyyələr'!$B$6</f>
        <v/>
      </c>
      <c r="F31" s="20">
        <f>E31*'Fərziyyələr'!$B$8</f>
        <v/>
      </c>
      <c r="G31" s="20">
        <f>G30*(1+'Fərziyyələr'!$B$11)</f>
        <v/>
      </c>
      <c r="H31" s="20">
        <f>G31*'Fərziyyələr'!$B$12</f>
        <v/>
      </c>
      <c r="I31" s="21">
        <f>F31+H31</f>
        <v/>
      </c>
      <c r="J31" s="22" t="n">
        <v>11</v>
      </c>
      <c r="K31" s="20" t="n">
        <v>15300</v>
      </c>
      <c r="L31" s="20">
        <f>K31*(1+'Fərziyyələr'!$B$13)</f>
        <v/>
      </c>
      <c r="M31" s="20">
        <f>'Fərziyyələr'!$B$14+C31/10000*'Fərziyyələr'!$B$15</f>
        <v/>
      </c>
      <c r="N31" s="20">
        <f>J31*'Fərziyyələr'!$B$16</f>
        <v/>
      </c>
      <c r="O31" s="20">
        <f>MAX('Fərziyyələr'!$B$18,I31*'Fərziyyələr'!$B$17)</f>
        <v/>
      </c>
      <c r="P31" s="20" t="n">
        <v>0</v>
      </c>
      <c r="Q31" s="20">
        <f>'Fərziyyələr'!$B$19+700</f>
        <v/>
      </c>
      <c r="R31" s="20">
        <f>I31*'Fərziyyələr'!$B$9</f>
        <v/>
      </c>
      <c r="S31" s="21">
        <f>L31+M31+N31+O31+P31+Q31+R31</f>
        <v/>
      </c>
      <c r="T31" s="20">
        <f>I31-S31</f>
        <v/>
      </c>
      <c r="U31" s="20">
        <f>U30+T31</f>
        <v/>
      </c>
    </row>
    <row r="32">
      <c r="A32" s="6" t="n">
        <v>30</v>
      </c>
      <c r="B32" s="6" t="inlineStr">
        <is>
          <t>2028-12</t>
        </is>
      </c>
      <c r="C32" s="20">
        <f>C31*(1+'Fərziyyələr'!$B$4)</f>
        <v/>
      </c>
      <c r="D32" s="20">
        <f>C32*'Fərziyyələr'!$B$5</f>
        <v/>
      </c>
      <c r="E32" s="20">
        <f>E31*(1-'Fərziyyələr'!$B$7)+D32*'Fərziyyələr'!$B$6</f>
        <v/>
      </c>
      <c r="F32" s="20">
        <f>E32*'Fərziyyələr'!$B$8</f>
        <v/>
      </c>
      <c r="G32" s="20">
        <f>G31*(1+'Fərziyyələr'!$B$11)</f>
        <v/>
      </c>
      <c r="H32" s="20">
        <f>G32*'Fərziyyələr'!$B$12</f>
        <v/>
      </c>
      <c r="I32" s="21">
        <f>F32+H32</f>
        <v/>
      </c>
      <c r="J32" s="22" t="n">
        <v>11</v>
      </c>
      <c r="K32" s="20" t="n">
        <v>15300</v>
      </c>
      <c r="L32" s="20">
        <f>K32*(1+'Fərziyyələr'!$B$13)</f>
        <v/>
      </c>
      <c r="M32" s="20">
        <f>'Fərziyyələr'!$B$14+C32/10000*'Fərziyyələr'!$B$15</f>
        <v/>
      </c>
      <c r="N32" s="20">
        <f>J32*'Fərziyyələr'!$B$16</f>
        <v/>
      </c>
      <c r="O32" s="20">
        <f>MAX('Fərziyyələr'!$B$18,I32*'Fərziyyələr'!$B$17)</f>
        <v/>
      </c>
      <c r="P32" s="20" t="n">
        <v>0</v>
      </c>
      <c r="Q32" s="20">
        <f>'Fərziyyələr'!$B$19+700</f>
        <v/>
      </c>
      <c r="R32" s="20">
        <f>I32*'Fərziyyələr'!$B$9</f>
        <v/>
      </c>
      <c r="S32" s="21">
        <f>L32+M32+N32+O32+P32+Q32+R32</f>
        <v/>
      </c>
      <c r="T32" s="20">
        <f>I32-S32</f>
        <v/>
      </c>
      <c r="U32" s="20">
        <f>U31+T32</f>
        <v/>
      </c>
    </row>
    <row r="33">
      <c r="A33" s="6" t="n">
        <v>31</v>
      </c>
      <c r="B33" s="6" t="inlineStr">
        <is>
          <t>2029-01</t>
        </is>
      </c>
      <c r="C33" s="20">
        <f>C32*(1+'Fərziyyələr'!$B$4)</f>
        <v/>
      </c>
      <c r="D33" s="20">
        <f>C33*'Fərziyyələr'!$B$5</f>
        <v/>
      </c>
      <c r="E33" s="20">
        <f>E32*(1-'Fərziyyələr'!$B$7)+D33*'Fərziyyələr'!$B$6</f>
        <v/>
      </c>
      <c r="F33" s="20">
        <f>E33*'Fərziyyələr'!$B$8</f>
        <v/>
      </c>
      <c r="G33" s="20">
        <f>G32*(1+'Fərziyyələr'!$B$11)</f>
        <v/>
      </c>
      <c r="H33" s="20">
        <f>G33*'Fərziyyələr'!$B$12</f>
        <v/>
      </c>
      <c r="I33" s="21">
        <f>F33+H33</f>
        <v/>
      </c>
      <c r="J33" s="22" t="n">
        <v>11</v>
      </c>
      <c r="K33" s="20" t="n">
        <v>15300</v>
      </c>
      <c r="L33" s="20">
        <f>K33*(1+'Fərziyyələr'!$B$13)</f>
        <v/>
      </c>
      <c r="M33" s="20">
        <f>'Fərziyyələr'!$B$14+C33/10000*'Fərziyyələr'!$B$15</f>
        <v/>
      </c>
      <c r="N33" s="20">
        <f>J33*'Fərziyyələr'!$B$16</f>
        <v/>
      </c>
      <c r="O33" s="20">
        <f>MAX('Fərziyyələr'!$B$18,I33*'Fərziyyələr'!$B$17)</f>
        <v/>
      </c>
      <c r="P33" s="20" t="n">
        <v>0</v>
      </c>
      <c r="Q33" s="20">
        <f>'Fərziyyələr'!$B$19+700</f>
        <v/>
      </c>
      <c r="R33" s="20">
        <f>I33*'Fərziyyələr'!$B$9</f>
        <v/>
      </c>
      <c r="S33" s="21">
        <f>L33+M33+N33+O33+P33+Q33+R33</f>
        <v/>
      </c>
      <c r="T33" s="20">
        <f>I33-S33</f>
        <v/>
      </c>
      <c r="U33" s="20">
        <f>U32+T33</f>
        <v/>
      </c>
    </row>
    <row r="34">
      <c r="A34" s="6" t="n">
        <v>32</v>
      </c>
      <c r="B34" s="6" t="inlineStr">
        <is>
          <t>2029-02</t>
        </is>
      </c>
      <c r="C34" s="20">
        <f>C33*(1+'Fərziyyələr'!$B$4)</f>
        <v/>
      </c>
      <c r="D34" s="20">
        <f>C34*'Fərziyyələr'!$B$5</f>
        <v/>
      </c>
      <c r="E34" s="20">
        <f>E33*(1-'Fərziyyələr'!$B$7)+D34*'Fərziyyələr'!$B$6</f>
        <v/>
      </c>
      <c r="F34" s="20">
        <f>E34*'Fərziyyələr'!$B$8</f>
        <v/>
      </c>
      <c r="G34" s="20">
        <f>G33*(1+'Fərziyyələr'!$B$11)</f>
        <v/>
      </c>
      <c r="H34" s="20">
        <f>G34*'Fərziyyələr'!$B$12</f>
        <v/>
      </c>
      <c r="I34" s="21">
        <f>F34+H34</f>
        <v/>
      </c>
      <c r="J34" s="22" t="n">
        <v>11</v>
      </c>
      <c r="K34" s="20" t="n">
        <v>15300</v>
      </c>
      <c r="L34" s="20">
        <f>K34*(1+'Fərziyyələr'!$B$13)</f>
        <v/>
      </c>
      <c r="M34" s="20">
        <f>'Fərziyyələr'!$B$14+C34/10000*'Fərziyyələr'!$B$15</f>
        <v/>
      </c>
      <c r="N34" s="20">
        <f>J34*'Fərziyyələr'!$B$16</f>
        <v/>
      </c>
      <c r="O34" s="20">
        <f>MAX('Fərziyyələr'!$B$18,I34*'Fərziyyələr'!$B$17)</f>
        <v/>
      </c>
      <c r="P34" s="20" t="n">
        <v>0</v>
      </c>
      <c r="Q34" s="20">
        <f>'Fərziyyələr'!$B$19+700</f>
        <v/>
      </c>
      <c r="R34" s="20">
        <f>I34*'Fərziyyələr'!$B$9</f>
        <v/>
      </c>
      <c r="S34" s="21">
        <f>L34+M34+N34+O34+P34+Q34+R34</f>
        <v/>
      </c>
      <c r="T34" s="20">
        <f>I34-S34</f>
        <v/>
      </c>
      <c r="U34" s="20">
        <f>U33+T34</f>
        <v/>
      </c>
    </row>
    <row r="35">
      <c r="A35" s="6" t="n">
        <v>33</v>
      </c>
      <c r="B35" s="6" t="inlineStr">
        <is>
          <t>2029-03</t>
        </is>
      </c>
      <c r="C35" s="20">
        <f>C34*(1+'Fərziyyələr'!$B$4)</f>
        <v/>
      </c>
      <c r="D35" s="20">
        <f>C35*'Fərziyyələr'!$B$5</f>
        <v/>
      </c>
      <c r="E35" s="20">
        <f>E34*(1-'Fərziyyələr'!$B$7)+D35*'Fərziyyələr'!$B$6</f>
        <v/>
      </c>
      <c r="F35" s="20">
        <f>E35*'Fərziyyələr'!$B$8</f>
        <v/>
      </c>
      <c r="G35" s="20">
        <f>G34*(1+'Fərziyyələr'!$B$11)</f>
        <v/>
      </c>
      <c r="H35" s="20">
        <f>G35*'Fərziyyələr'!$B$12</f>
        <v/>
      </c>
      <c r="I35" s="21">
        <f>F35+H35</f>
        <v/>
      </c>
      <c r="J35" s="22" t="n">
        <v>11</v>
      </c>
      <c r="K35" s="20" t="n">
        <v>15300</v>
      </c>
      <c r="L35" s="20">
        <f>K35*(1+'Fərziyyələr'!$B$13)</f>
        <v/>
      </c>
      <c r="M35" s="20">
        <f>'Fərziyyələr'!$B$14+C35/10000*'Fərziyyələr'!$B$15</f>
        <v/>
      </c>
      <c r="N35" s="20">
        <f>J35*'Fərziyyələr'!$B$16</f>
        <v/>
      </c>
      <c r="O35" s="20">
        <f>MAX('Fərziyyələr'!$B$18,I35*'Fərziyyələr'!$B$17)</f>
        <v/>
      </c>
      <c r="P35" s="20" t="n">
        <v>0</v>
      </c>
      <c r="Q35" s="20">
        <f>'Fərziyyələr'!$B$19+700</f>
        <v/>
      </c>
      <c r="R35" s="20">
        <f>I35*'Fərziyyələr'!$B$9</f>
        <v/>
      </c>
      <c r="S35" s="21">
        <f>L35+M35+N35+O35+P35+Q35+R35</f>
        <v/>
      </c>
      <c r="T35" s="20">
        <f>I35-S35</f>
        <v/>
      </c>
      <c r="U35" s="20">
        <f>U34+T35</f>
        <v/>
      </c>
    </row>
    <row r="36">
      <c r="A36" s="6" t="n">
        <v>34</v>
      </c>
      <c r="B36" s="6" t="inlineStr">
        <is>
          <t>2029-04</t>
        </is>
      </c>
      <c r="C36" s="20">
        <f>C35*(1+'Fərziyyələr'!$B$4)</f>
        <v/>
      </c>
      <c r="D36" s="20">
        <f>C36*'Fərziyyələr'!$B$5</f>
        <v/>
      </c>
      <c r="E36" s="20">
        <f>E35*(1-'Fərziyyələr'!$B$7)+D36*'Fərziyyələr'!$B$6</f>
        <v/>
      </c>
      <c r="F36" s="20">
        <f>E36*'Fərziyyələr'!$B$8</f>
        <v/>
      </c>
      <c r="G36" s="20">
        <f>G35*(1+'Fərziyyələr'!$B$11)</f>
        <v/>
      </c>
      <c r="H36" s="20">
        <f>G36*'Fərziyyələr'!$B$12</f>
        <v/>
      </c>
      <c r="I36" s="21">
        <f>F36+H36</f>
        <v/>
      </c>
      <c r="J36" s="22" t="n">
        <v>11</v>
      </c>
      <c r="K36" s="20" t="n">
        <v>15300</v>
      </c>
      <c r="L36" s="20">
        <f>K36*(1+'Fərziyyələr'!$B$13)</f>
        <v/>
      </c>
      <c r="M36" s="20">
        <f>'Fərziyyələr'!$B$14+C36/10000*'Fərziyyələr'!$B$15</f>
        <v/>
      </c>
      <c r="N36" s="20">
        <f>J36*'Fərziyyələr'!$B$16</f>
        <v/>
      </c>
      <c r="O36" s="20">
        <f>MAX('Fərziyyələr'!$B$18,I36*'Fərziyyələr'!$B$17)</f>
        <v/>
      </c>
      <c r="P36" s="20" t="n">
        <v>0</v>
      </c>
      <c r="Q36" s="20">
        <f>'Fərziyyələr'!$B$19+700</f>
        <v/>
      </c>
      <c r="R36" s="20">
        <f>I36*'Fərziyyələr'!$B$9</f>
        <v/>
      </c>
      <c r="S36" s="21">
        <f>L36+M36+N36+O36+P36+Q36+R36</f>
        <v/>
      </c>
      <c r="T36" s="20">
        <f>I36-S36</f>
        <v/>
      </c>
      <c r="U36" s="20">
        <f>U35+T36</f>
        <v/>
      </c>
    </row>
    <row r="37">
      <c r="A37" s="6" t="n">
        <v>35</v>
      </c>
      <c r="B37" s="6" t="inlineStr">
        <is>
          <t>2029-05</t>
        </is>
      </c>
      <c r="C37" s="20">
        <f>C36*(1+'Fərziyyələr'!$B$4)</f>
        <v/>
      </c>
      <c r="D37" s="20">
        <f>C37*'Fərziyyələr'!$B$5</f>
        <v/>
      </c>
      <c r="E37" s="20">
        <f>E36*(1-'Fərziyyələr'!$B$7)+D37*'Fərziyyələr'!$B$6</f>
        <v/>
      </c>
      <c r="F37" s="20">
        <f>E37*'Fərziyyələr'!$B$8</f>
        <v/>
      </c>
      <c r="G37" s="20">
        <f>G36*(1+'Fərziyyələr'!$B$11)</f>
        <v/>
      </c>
      <c r="H37" s="20">
        <f>G37*'Fərziyyələr'!$B$12</f>
        <v/>
      </c>
      <c r="I37" s="21">
        <f>F37+H37</f>
        <v/>
      </c>
      <c r="J37" s="22" t="n">
        <v>11</v>
      </c>
      <c r="K37" s="20" t="n">
        <v>15300</v>
      </c>
      <c r="L37" s="20">
        <f>K37*(1+'Fərziyyələr'!$B$13)</f>
        <v/>
      </c>
      <c r="M37" s="20">
        <f>'Fərziyyələr'!$B$14+C37/10000*'Fərziyyələr'!$B$15</f>
        <v/>
      </c>
      <c r="N37" s="20">
        <f>J37*'Fərziyyələr'!$B$16</f>
        <v/>
      </c>
      <c r="O37" s="20">
        <f>MAX('Fərziyyələr'!$B$18,I37*'Fərziyyələr'!$B$17)</f>
        <v/>
      </c>
      <c r="P37" s="20" t="n">
        <v>0</v>
      </c>
      <c r="Q37" s="20">
        <f>'Fərziyyələr'!$B$19+700</f>
        <v/>
      </c>
      <c r="R37" s="20">
        <f>I37*'Fərziyyələr'!$B$9</f>
        <v/>
      </c>
      <c r="S37" s="21">
        <f>L37+M37+N37+O37+P37+Q37+R37</f>
        <v/>
      </c>
      <c r="T37" s="20">
        <f>I37-S37</f>
        <v/>
      </c>
      <c r="U37" s="20">
        <f>U36+T37</f>
        <v/>
      </c>
    </row>
    <row r="38">
      <c r="A38" s="6" t="n">
        <v>36</v>
      </c>
      <c r="B38" s="6" t="inlineStr">
        <is>
          <t>2029-06</t>
        </is>
      </c>
      <c r="C38" s="20">
        <f>C37*(1+'Fərziyyələr'!$B$4)</f>
        <v/>
      </c>
      <c r="D38" s="20">
        <f>C38*'Fərziyyələr'!$B$5</f>
        <v/>
      </c>
      <c r="E38" s="20">
        <f>E37*(1-'Fərziyyələr'!$B$7)+D38*'Fərziyyələr'!$B$6</f>
        <v/>
      </c>
      <c r="F38" s="20">
        <f>E38*'Fərziyyələr'!$B$8</f>
        <v/>
      </c>
      <c r="G38" s="20">
        <f>G37*(1+'Fərziyyələr'!$B$11)</f>
        <v/>
      </c>
      <c r="H38" s="20">
        <f>G38*'Fərziyyələr'!$B$12</f>
        <v/>
      </c>
      <c r="I38" s="21">
        <f>F38+H38</f>
        <v/>
      </c>
      <c r="J38" s="22" t="n">
        <v>11</v>
      </c>
      <c r="K38" s="20" t="n">
        <v>15300</v>
      </c>
      <c r="L38" s="20">
        <f>K38*(1+'Fərziyyələr'!$B$13)</f>
        <v/>
      </c>
      <c r="M38" s="20">
        <f>'Fərziyyələr'!$B$14+C38/10000*'Fərziyyələr'!$B$15</f>
        <v/>
      </c>
      <c r="N38" s="20">
        <f>J38*'Fərziyyələr'!$B$16</f>
        <v/>
      </c>
      <c r="O38" s="20">
        <f>MAX('Fərziyyələr'!$B$18,I38*'Fərziyyələr'!$B$17)</f>
        <v/>
      </c>
      <c r="P38" s="20" t="n">
        <v>0</v>
      </c>
      <c r="Q38" s="20">
        <f>'Fərziyyələr'!$B$19+700</f>
        <v/>
      </c>
      <c r="R38" s="20">
        <f>I38*'Fərziyyələr'!$B$9</f>
        <v/>
      </c>
      <c r="S38" s="21">
        <f>L38+M38+N38+O38+P38+Q38+R38</f>
        <v/>
      </c>
      <c r="T38" s="20">
        <f>I38-S38</f>
        <v/>
      </c>
      <c r="U38" s="20">
        <f>U37+T38</f>
        <v/>
      </c>
    </row>
    <row r="39">
      <c r="A39" s="15" t="n"/>
      <c r="B39" s="7" t="inlineStr">
        <is>
          <t>36 AY CƏMİ</t>
        </is>
      </c>
      <c r="C39" s="15" t="n"/>
      <c r="D39" s="15" t="n"/>
      <c r="E39" s="15" t="n"/>
      <c r="F39" s="15" t="n"/>
      <c r="G39" s="15" t="n"/>
      <c r="H39" s="15" t="n"/>
      <c r="I39" s="23">
        <f>SUM(I3:I38)</f>
        <v/>
      </c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23">
        <f>SUM(S3:S38)</f>
        <v/>
      </c>
      <c r="T39" s="23">
        <f>SUM(T3:T38)</f>
        <v/>
      </c>
      <c r="U39" s="15" t="n"/>
    </row>
  </sheetData>
  <mergeCells count="1">
    <mergeCell ref="A1:U1"/>
  </mergeCells>
  <conditionalFormatting sqref="T3:U38">
    <cfRule type="cellIs" priority="1" operator="lessThan" dxfId="0">
      <formula>0</formula>
    </cfRule>
    <cfRule type="cellIs" priority="2" operator="greaterThanOrEqual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İLLİK XÜLASƏ / DASHBOARD (USD)</t>
        </is>
      </c>
    </row>
    <row r="2">
      <c r="A2" s="2" t="inlineStr">
        <is>
          <t>Göstərici</t>
        </is>
      </c>
      <c r="B2" s="2" t="inlineStr">
        <is>
          <t>İl 1 (Ay 1-12)</t>
        </is>
      </c>
      <c r="C2" s="2" t="inlineStr">
        <is>
          <t>İl 2 (Ay 13-24)</t>
        </is>
      </c>
      <c r="D2" s="2" t="inlineStr">
        <is>
          <t>İl 3 (Ay 25-36)</t>
        </is>
      </c>
      <c r="E2" s="2" t="inlineStr">
        <is>
          <t>3 İL CƏMİ</t>
        </is>
      </c>
    </row>
    <row r="3">
      <c r="A3" s="7" t="inlineStr">
        <is>
          <t>Ümumi gəlir</t>
        </is>
      </c>
      <c r="B3" s="8">
        <f>SUM('36 Aylıq Maliyyə'!I3:I14)</f>
        <v/>
      </c>
      <c r="C3" s="8">
        <f>SUM('36 Aylıq Maliyyə'!I15:I26)</f>
        <v/>
      </c>
      <c r="D3" s="8">
        <f>SUM('36 Aylıq Maliyyə'!I27:I38)</f>
        <v/>
      </c>
      <c r="E3" s="24">
        <f>SUM(B3:D3)</f>
        <v/>
      </c>
    </row>
    <row r="4">
      <c r="A4" s="25" t="inlineStr">
        <is>
          <t>Abunə gəliri</t>
        </is>
      </c>
      <c r="B4" s="8">
        <f>SUM('36 Aylıq Maliyyə'!F3:F14)</f>
        <v/>
      </c>
      <c r="C4" s="8">
        <f>SUM('36 Aylıq Maliyyə'!F15:F26)</f>
        <v/>
      </c>
      <c r="D4" s="8">
        <f>SUM('36 Aylıq Maliyyə'!F27:F38)</f>
        <v/>
      </c>
      <c r="E4" s="24">
        <f>SUM(B4:D4)</f>
        <v/>
      </c>
    </row>
    <row r="5">
      <c r="A5" s="25" t="inlineStr">
        <is>
          <t>Komissiya gəliri</t>
        </is>
      </c>
      <c r="B5" s="8">
        <f>SUM('36 Aylıq Maliyyə'!H3:H14)</f>
        <v/>
      </c>
      <c r="C5" s="8">
        <f>SUM('36 Aylıq Maliyyə'!H15:H26)</f>
        <v/>
      </c>
      <c r="D5" s="8">
        <f>SUM('36 Aylıq Maliyyə'!H27:H38)</f>
        <v/>
      </c>
      <c r="E5" s="24">
        <f>SUM(B5:D5)</f>
        <v/>
      </c>
    </row>
    <row r="6">
      <c r="A6" s="25" t="inlineStr">
        <is>
          <t>Maaş + vergi</t>
        </is>
      </c>
      <c r="B6" s="8">
        <f>SUM('36 Aylıq Maliyyə'!L3:L14)</f>
        <v/>
      </c>
      <c r="C6" s="8">
        <f>SUM('36 Aylıq Maliyyə'!L15:L26)</f>
        <v/>
      </c>
      <c r="D6" s="8">
        <f>SUM('36 Aylıq Maliyyə'!L27:L38)</f>
        <v/>
      </c>
      <c r="E6" s="24">
        <f>SUM(B6:D6)</f>
        <v/>
      </c>
    </row>
    <row r="7">
      <c r="A7" s="25" t="inlineStr">
        <is>
          <t>Marketinq</t>
        </is>
      </c>
      <c r="B7" s="8">
        <f>SUM('36 Aylıq Maliyyə'!O3:O14)</f>
        <v/>
      </c>
      <c r="C7" s="8">
        <f>SUM('36 Aylıq Maliyyə'!O15:O26)</f>
        <v/>
      </c>
      <c r="D7" s="8">
        <f>SUM('36 Aylıq Maliyyə'!O27:O38)</f>
        <v/>
      </c>
      <c r="E7" s="24">
        <f>SUM(B7:D7)</f>
        <v/>
      </c>
    </row>
    <row r="8">
      <c r="A8" s="25" t="inlineStr">
        <is>
          <t>Hosting+Software+Stripe</t>
        </is>
      </c>
      <c r="B8" s="8">
        <f>SUM('36 Aylıq Maliyyə'!M3:M14)+SUM('36 Aylıq Maliyyə'!N3:N14)+SUM('36 Aylıq Maliyyə'!R3:R14)</f>
        <v/>
      </c>
      <c r="C8" s="8">
        <f>SUM('36 Aylıq Maliyyə'!M15:M26)+SUM('36 Aylıq Maliyyə'!N15:N26)+SUM('36 Aylıq Maliyyə'!R15:R26)</f>
        <v/>
      </c>
      <c r="D8" s="8">
        <f>SUM('36 Aylıq Maliyyə'!M27:M38)+SUM('36 Aylıq Maliyyə'!N27:N38)+SUM('36 Aylıq Maliyyə'!R27:R38)</f>
        <v/>
      </c>
      <c r="E8" s="24">
        <f>SUM(B8:D8)</f>
        <v/>
      </c>
    </row>
    <row r="9">
      <c r="A9" s="25" t="inlineStr">
        <is>
          <t>Avadanlıq</t>
        </is>
      </c>
      <c r="B9" s="8">
        <f>SUM('36 Aylıq Maliyyə'!P3:P14)</f>
        <v/>
      </c>
      <c r="C9" s="8">
        <f>SUM('36 Aylıq Maliyyə'!P15:P26)</f>
        <v/>
      </c>
      <c r="D9" s="8">
        <f>SUM('36 Aylıq Maliyyə'!P27:P38)</f>
        <v/>
      </c>
      <c r="E9" s="24">
        <f>SUM(B9:D9)</f>
        <v/>
      </c>
    </row>
    <row r="10">
      <c r="A10" s="25" t="inlineStr">
        <is>
          <t>İnzibati</t>
        </is>
      </c>
      <c r="B10" s="8">
        <f>SUM('36 Aylıq Maliyyə'!Q3:Q14)</f>
        <v/>
      </c>
      <c r="C10" s="8">
        <f>SUM('36 Aylıq Maliyyə'!Q15:Q26)</f>
        <v/>
      </c>
      <c r="D10" s="8">
        <f>SUM('36 Aylıq Maliyyə'!Q27:Q38)</f>
        <v/>
      </c>
      <c r="E10" s="24">
        <f>SUM(B10:D10)</f>
        <v/>
      </c>
    </row>
    <row r="11">
      <c r="A11" s="7" t="inlineStr">
        <is>
          <t>Ümumi xərc</t>
        </is>
      </c>
      <c r="B11" s="8">
        <f>SUM('36 Aylıq Maliyyə'!S3:S14)</f>
        <v/>
      </c>
      <c r="C11" s="8">
        <f>SUM('36 Aylıq Maliyyə'!S15:S26)</f>
        <v/>
      </c>
      <c r="D11" s="8">
        <f>SUM('36 Aylıq Maliyyə'!S27:S38)</f>
        <v/>
      </c>
      <c r="E11" s="24">
        <f>SUM(B11:D11)</f>
        <v/>
      </c>
    </row>
    <row r="12">
      <c r="A12" s="7" t="inlineStr">
        <is>
          <t>NET nəticə</t>
        </is>
      </c>
      <c r="B12" s="26">
        <f>SUM('36 Aylıq Maliyyə'!T3:T14)</f>
        <v/>
      </c>
      <c r="C12" s="26">
        <f>SUM('36 Aylıq Maliyyə'!T15:T26)</f>
        <v/>
      </c>
      <c r="D12" s="26">
        <f>SUM('36 Aylıq Maliyyə'!T27:T38)</f>
        <v/>
      </c>
      <c r="E12" s="24">
        <f>SUM(B12:D12)</f>
        <v/>
      </c>
    </row>
    <row r="13">
      <c r="A13" s="7" t="inlineStr">
        <is>
          <t>İl sonu yığılmış kassa</t>
        </is>
      </c>
      <c r="B13" s="27">
        <f>'36 Aylıq Maliyyə'!U14</f>
        <v/>
      </c>
      <c r="C13" s="27">
        <f>'36 Aylıq Maliyyə'!U26</f>
        <v/>
      </c>
      <c r="D13" s="27">
        <f>'36 Aylıq Maliyyə'!U38</f>
        <v/>
      </c>
      <c r="E13" s="15" t="n"/>
    </row>
    <row r="14">
      <c r="A14" s="7" t="inlineStr">
        <is>
          <t>İl sonu komanda (nəfər)</t>
        </is>
      </c>
      <c r="B14" s="28">
        <f>'36 Aylıq Maliyyə'!J14</f>
        <v/>
      </c>
      <c r="C14" s="28">
        <f>'36 Aylıq Maliyyə'!J26</f>
        <v/>
      </c>
      <c r="D14" s="28">
        <f>'36 Aylıq Maliyyə'!J38</f>
        <v/>
      </c>
      <c r="E14" s="15" t="n"/>
    </row>
    <row r="16">
      <c r="A16" s="9" t="inlineStr">
        <is>
          <t>Qeydlər:</t>
        </is>
      </c>
    </row>
    <row r="17">
      <c r="A17" s="12" t="inlineStr">
        <is>
          <t>• Valyuta USD. Təxmini AZN üçün × 1.70.</t>
        </is>
      </c>
    </row>
    <row r="18">
      <c r="A18" t="inlineStr">
        <is>
          <t>• Bütün rəqəmlər «Fərziyyələr» vərəqindəki dəyərlərdən avtomatik hesablanır — orada dəyişiklik et, hər şey yenilənsin.</t>
        </is>
      </c>
    </row>
    <row r="19">
      <c r="A19" t="inlineStr">
        <is>
          <t>• Mənfi NET ilk illər normaldır (investisiya mərhələsi); «Yığılmış kassa» runway-i göstərir.</t>
        </is>
      </c>
    </row>
  </sheetData>
  <mergeCells count="5">
    <mergeCell ref="A16:E16"/>
    <mergeCell ref="A19:E19"/>
    <mergeCell ref="A1:E1"/>
    <mergeCell ref="A17:E17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2026-06-10T06:10:19Z</dcterms:created>
  <dcterms:modified xmlns:dcterms="http://purl.org/dc/terms/" xmlns:xsi="http://www.w3.org/2001/XMLSchema-instance" xsi:type="dcterms:W3CDTF">2026-06-10T06:10:19Z</dcterms:modified>
</cp:coreProperties>
</file>