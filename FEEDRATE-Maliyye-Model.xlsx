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Xülasə (Investor)" sheetId="1" state="visible" r:id="rId1"/>
    <sheet xmlns:r="http://schemas.openxmlformats.org/officeDocument/2006/relationships" name="Necə İşləyir (axın)" sheetId="2" state="visible" r:id="rId2"/>
    <sheet xmlns:r="http://schemas.openxmlformats.org/officeDocument/2006/relationships" name="Komanda &amp; Rollar" sheetId="3" state="visible" r:id="rId3"/>
    <sheet xmlns:r="http://schemas.openxmlformats.org/officeDocument/2006/relationships" name="Aylıq İş Planı" sheetId="4" state="visible" r:id="rId4"/>
    <sheet xmlns:r="http://schemas.openxmlformats.org/officeDocument/2006/relationships" name="Kompüter &amp; Avadanlıq" sheetId="5" state="visible" r:id="rId5"/>
    <sheet xmlns:r="http://schemas.openxmlformats.org/officeDocument/2006/relationships" name="Fərziyyələr" sheetId="6" state="visible" r:id="rId6"/>
    <sheet xmlns:r="http://schemas.openxmlformats.org/officeDocument/2006/relationships" name="36 Aylıq Maliyyə" sheetId="7" state="visible" r:id="rId7"/>
    <sheet xmlns:r="http://schemas.openxmlformats.org/officeDocument/2006/relationships" name="İllik Xülasə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10">
    <font>
      <name val="Calibri"/>
      <family val="2"/>
      <color theme="1"/>
      <sz val="11"/>
      <scheme val="minor"/>
    </font>
    <font>
      <b val="1"/>
      <color rgb="000D0E10"/>
      <sz val="13"/>
    </font>
    <font>
      <i val="1"/>
      <sz val="10"/>
    </font>
    <font>
      <b val="1"/>
    </font>
    <font>
      <b val="1"/>
      <color rgb="00C98A06"/>
    </font>
    <font>
      <i val="1"/>
      <sz val="9"/>
    </font>
    <font>
      <b val="1"/>
      <color rgb="00FFFFFF"/>
      <sz val="9"/>
    </font>
    <font/>
    <font>
      <i val="1"/>
    </font>
    <font>
      <b val="1"/>
      <sz val="11"/>
    </font>
  </fonts>
  <fills count="8">
    <fill>
      <patternFill/>
    </fill>
    <fill>
      <patternFill patternType="gray125"/>
    </fill>
    <fill>
      <patternFill patternType="solid">
        <fgColor rgb="00FFB300"/>
      </patternFill>
    </fill>
    <fill>
      <patternFill patternType="solid">
        <fgColor rgb="00D6F5F2"/>
      </patternFill>
    </fill>
    <fill>
      <patternFill patternType="solid">
        <fgColor rgb="0015171A"/>
      </patternFill>
    </fill>
    <fill>
      <patternFill patternType="solid">
        <fgColor rgb="00EEF1F4"/>
      </patternFill>
    </fill>
    <fill>
      <patternFill patternType="solid">
        <fgColor rgb="00C9F2D8"/>
      </patternFill>
    </fill>
    <fill>
      <patternFill patternType="solid">
        <fgColor rgb="00D6E6FF"/>
      </patternFill>
    </fill>
  </fills>
  <borders count="2">
    <border>
      <left/>
      <right/>
      <top/>
      <bottom/>
      <diagonal/>
    </border>
    <border>
      <left style="thin">
        <color rgb="00C9CDD2"/>
      </left>
      <right style="thin">
        <color rgb="00C9CDD2"/>
      </right>
      <top style="thin">
        <color rgb="00C9CDD2"/>
      </top>
      <bottom style="thin">
        <color rgb="00C9CDD2"/>
      </bottom>
    </border>
  </borders>
  <cellStyleXfs count="1">
    <xf numFmtId="0" fontId="0" fillId="0" borderId="0"/>
  </cellStyleXfs>
  <cellXfs count="37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0" borderId="0" pivotButton="0" quotePrefix="0" xfId="0"/>
    <xf numFmtId="0" fontId="1" fillId="3" borderId="0" applyAlignment="1" pivotButton="0" quotePrefix="0" xfId="0">
      <alignment vertical="center"/>
    </xf>
    <xf numFmtId="0" fontId="3" fillId="0" borderId="1" pivotButton="0" quotePrefix="0" xfId="0"/>
    <xf numFmtId="3" fontId="4" fillId="2" borderId="1" pivotButton="0" quotePrefix="0" xfId="0"/>
    <xf numFmtId="0" fontId="5" fillId="0" borderId="0" pivotButton="0" quotePrefix="0" xfId="0"/>
    <xf numFmtId="0" fontId="6" fillId="4" borderId="1" applyAlignment="1" pivotButton="0" quotePrefix="0" xfId="0">
      <alignment horizontal="center" vertical="center" wrapText="1"/>
    </xf>
    <xf numFmtId="3" fontId="0" fillId="0" borderId="1" applyAlignment="1" pivotButton="0" quotePrefix="0" xfId="0">
      <alignment horizontal="center" vertical="center" wrapText="1"/>
    </xf>
    <xf numFmtId="3" fontId="3" fillId="0" borderId="1" applyAlignment="1" pivotButton="0" quotePrefix="0" xfId="0">
      <alignment horizontal="center" vertical="center" wrapText="1"/>
    </xf>
    <xf numFmtId="0" fontId="7" fillId="0" borderId="1" pivotButton="0" quotePrefix="0" xfId="0"/>
    <xf numFmtId="1" fontId="0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0" fontId="4" fillId="0" borderId="1" applyAlignment="1" pivotButton="0" quotePrefix="0" xfId="0">
      <alignment horizontal="center" vertical="center" wrapText="1"/>
    </xf>
    <xf numFmtId="0" fontId="3" fillId="5" borderId="1" pivotButton="0" quotePrefix="0" xfId="0"/>
    <xf numFmtId="0" fontId="0" fillId="0" borderId="1" applyAlignment="1" pivotButton="0" quotePrefix="0" xfId="0">
      <alignment vertical="top" wrapText="1"/>
    </xf>
    <xf numFmtId="0" fontId="9" fillId="0" borderId="0" pivotButton="0" quotePrefix="0" xfId="0"/>
    <xf numFmtId="0" fontId="0" fillId="0" borderId="1" applyAlignment="1" pivotButton="0" quotePrefix="0" xfId="0">
      <alignment horizontal="center" vertical="center" wrapText="1"/>
    </xf>
    <xf numFmtId="0" fontId="3" fillId="0" borderId="0" pivotButton="0" quotePrefix="0" xfId="0"/>
    <xf numFmtId="3" fontId="3" fillId="6" borderId="0" pivotButton="0" quotePrefix="0" xfId="0"/>
    <xf numFmtId="0" fontId="3" fillId="7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vertical="top" wrapText="1"/>
    </xf>
    <xf numFmtId="3" fontId="3" fillId="5" borderId="0" pivotButton="0" quotePrefix="0" xfId="0"/>
    <xf numFmtId="1" fontId="3" fillId="2" borderId="1" applyAlignment="1" pivotButton="0" quotePrefix="0" xfId="0">
      <alignment horizontal="center" vertical="center" wrapText="1"/>
    </xf>
    <xf numFmtId="9" fontId="3" fillId="2" borderId="1" applyAlignment="1" pivotButton="0" quotePrefix="0" xfId="0">
      <alignment horizontal="center" vertical="center" wrapText="1"/>
    </xf>
    <xf numFmtId="164" fontId="3" fillId="2" borderId="1" applyAlignment="1" pivotButton="0" quotePrefix="0" xfId="0">
      <alignment horizontal="center" vertical="center" wrapText="1"/>
    </xf>
    <xf numFmtId="3" fontId="0" fillId="0" borderId="1" pivotButton="0" quotePrefix="0" xfId="0"/>
    <xf numFmtId="3" fontId="3" fillId="0" borderId="1" pivotButton="0" quotePrefix="0" xfId="0"/>
    <xf numFmtId="0" fontId="0" fillId="7" borderId="1" applyAlignment="1" pivotButton="0" quotePrefix="0" xfId="0">
      <alignment horizontal="center" vertical="center" wrapText="1"/>
    </xf>
    <xf numFmtId="3" fontId="0" fillId="7" borderId="1" pivotButton="0" quotePrefix="0" xfId="0"/>
    <xf numFmtId="3" fontId="3" fillId="7" borderId="1" pivotButton="0" quotePrefix="0" xfId="0"/>
    <xf numFmtId="1" fontId="0" fillId="7" borderId="1" applyAlignment="1" pivotButton="0" quotePrefix="0" xfId="0">
      <alignment horizontal="center" vertical="center" wrapText="1"/>
    </xf>
    <xf numFmtId="0" fontId="0" fillId="0" borderId="1" pivotButton="0" quotePrefix="0" xfId="0"/>
    <xf numFmtId="3" fontId="3" fillId="2" borderId="1" pivotButton="0" quotePrefix="0" xfId="0"/>
    <xf numFmtId="3" fontId="3" fillId="5" borderId="1" applyAlignment="1" pivotButton="0" quotePrefix="0" xfId="0">
      <alignment horizontal="center" vertical="center" wrapText="1"/>
    </xf>
    <xf numFmtId="3" fontId="3" fillId="7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dxfs count="2">
    <dxf>
      <fill>
        <patternFill patternType="solid">
          <fgColor rgb="00F8D4D4"/>
        </patternFill>
      </fill>
    </dxf>
    <dxf>
      <fill>
        <patternFill patternType="solid">
          <fgColor rgb="00C9F2D8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2"/>
  <sheetViews>
    <sheetView showGridLines="0" workbookViewId="0">
      <selection activeCell="A1" sqref="A1"/>
    </sheetView>
  </sheetViews>
  <sheetFormatPr baseColWidth="8" defaultRowHeight="15"/>
  <cols>
    <col width="40" customWidth="1" min="1" max="1"/>
    <col width="16" customWidth="1" min="2" max="2"/>
    <col width="16" customWidth="1" min="3" max="3"/>
    <col width="16" customWidth="1" min="4" max="4"/>
    <col width="16" customWidth="1" min="5" max="5"/>
    <col width="4" customWidth="1" min="6" max="6"/>
  </cols>
  <sheetData>
    <row r="1" ht="26" customHeight="1">
      <c r="A1" s="1" t="inlineStr">
        <is>
          <t>FEEDRATE — İNVESTOR XÜLASƏSİ</t>
        </is>
      </c>
    </row>
    <row r="2">
      <c r="A2" s="2" t="inlineStr">
        <is>
          <t>CNC frezeleme &amp; 3D-çap üçün anında qiymət → sifariş → supplier istehsalı → çatdırılma platforması</t>
        </is>
      </c>
    </row>
    <row r="4" ht="26" customHeight="1">
      <c r="A4" s="3" t="inlineStr">
        <is>
          <t>İNVESTİSİYA TƏLƏBİ</t>
        </is>
      </c>
    </row>
    <row r="5">
      <c r="A5" s="4" t="inlineStr">
        <is>
          <t>Tələb olunan investisiya (seed) — buferlə</t>
        </is>
      </c>
      <c r="B5" s="5">
        <f>ROUND(MAX(0,'Fərziyyələr'!B24-MIN('36 Aylıq Maliyyə'!W3:W38))*1.15,-3)</f>
        <v/>
      </c>
      <c r="D5" s="6" t="inlineStr">
        <is>
          <t>Ən dərin kassa çuxuru + 15% bufer</t>
        </is>
      </c>
    </row>
    <row r="6">
      <c r="A6" s="4" t="inlineStr">
        <is>
          <t>Başlanğıc kapital (modeldə qoyulan)</t>
        </is>
      </c>
      <c r="B6" s="5">
        <f>'Fərziyyələr'!B24</f>
        <v/>
      </c>
      <c r="D6" s="6" t="inlineStr">
        <is>
          <t>Fərziyyələr!B24-də dəyiş</t>
        </is>
      </c>
    </row>
    <row r="7">
      <c r="A7" s="4" t="inlineStr">
        <is>
          <t>Ən aşağı kassa nöqtəsi (runway dibi)</t>
        </is>
      </c>
      <c r="B7" s="5">
        <f>MIN('36 Aylıq Maliyyə'!W3:W38)</f>
        <v/>
      </c>
      <c r="D7" s="6" t="inlineStr">
        <is>
          <t>Bu müsbət qalmalıdır</t>
        </is>
      </c>
    </row>
    <row r="8">
      <c r="A8" s="4" t="inlineStr">
        <is>
          <t>Breakeven ayı (ilk müsbət NET)</t>
        </is>
      </c>
      <c r="B8" s="5">
        <f>MATCH(TRUE,INDEX('36 Aylıq Maliyyə'!V3:V38&gt;0,0),0)</f>
        <v/>
      </c>
      <c r="D8" s="6" t="inlineStr">
        <is>
          <t>Ay nömrəsi</t>
        </is>
      </c>
    </row>
    <row r="10" ht="26" customHeight="1">
      <c r="A10" s="3" t="inlineStr">
        <is>
          <t>HARDA OLACAĞIQ — 18 və 36 AY</t>
        </is>
      </c>
    </row>
    <row r="11">
      <c r="A11" s="7" t="inlineStr">
        <is>
          <t>Göstərici</t>
        </is>
      </c>
      <c r="B11" s="7" t="inlineStr">
        <is>
          <t>12 ay</t>
        </is>
      </c>
      <c r="C11" s="7" t="inlineStr">
        <is>
          <t>18 ay</t>
        </is>
      </c>
      <c r="D11" s="7" t="inlineStr">
        <is>
          <t>24 ay</t>
        </is>
      </c>
      <c r="E11" s="7" t="inlineStr">
        <is>
          <t>36 ay</t>
        </is>
      </c>
    </row>
    <row r="12">
      <c r="A12" s="4" t="inlineStr">
        <is>
          <t>Aylıq gəlir (MRR-ə bənzər) $</t>
        </is>
      </c>
      <c r="B12" s="8">
        <f>'36 Aylıq Maliyyə'!K14</f>
        <v/>
      </c>
      <c r="C12" s="8">
        <f>'36 Aylıq Maliyyə'!K20</f>
        <v/>
      </c>
      <c r="D12" s="8">
        <f>'36 Aylıq Maliyyə'!K26</f>
        <v/>
      </c>
      <c r="E12" s="8">
        <f>'36 Aylıq Maliyyə'!K38</f>
        <v/>
      </c>
    </row>
    <row r="13">
      <c r="A13" s="4" t="inlineStr">
        <is>
          <t>İllik run-rate (ARR ≈ gəlir×12) $</t>
        </is>
      </c>
      <c r="B13" s="9">
        <f>'36 Aylıq Maliyyə'!K14*12</f>
        <v/>
      </c>
      <c r="C13" s="9">
        <f>'36 Aylıq Maliyyə'!K20*12</f>
        <v/>
      </c>
      <c r="D13" s="9">
        <f>'36 Aylıq Maliyyə'!K26*12</f>
        <v/>
      </c>
      <c r="E13" s="9">
        <f>'36 Aylıq Maliyyə'!K38*12</f>
        <v/>
      </c>
    </row>
    <row r="14">
      <c r="A14" s="10" t="inlineStr">
        <is>
          <t>Aylıq sifariş sayı</t>
        </is>
      </c>
      <c r="B14" s="8">
        <f>'36 Aylıq Maliyyə'!D14</f>
        <v/>
      </c>
      <c r="C14" s="8">
        <f>'36 Aylıq Maliyyə'!D20</f>
        <v/>
      </c>
      <c r="D14" s="8">
        <f>'36 Aylıq Maliyyə'!D26</f>
        <v/>
      </c>
      <c r="E14" s="8">
        <f>'36 Aylıq Maliyyə'!D38</f>
        <v/>
      </c>
    </row>
    <row r="15">
      <c r="A15" s="10" t="inlineStr">
        <is>
          <t>İstehsal GMV (aylıq) $</t>
        </is>
      </c>
      <c r="B15" s="8">
        <f>'36 Aylıq Maliyyə'!E14</f>
        <v/>
      </c>
      <c r="C15" s="8">
        <f>'36 Aylıq Maliyyə'!E20</f>
        <v/>
      </c>
      <c r="D15" s="8">
        <f>'36 Aylıq Maliyyə'!E26</f>
        <v/>
      </c>
      <c r="E15" s="8">
        <f>'36 Aylıq Maliyyə'!E38</f>
        <v/>
      </c>
    </row>
    <row r="16">
      <c r="A16" s="10" t="inlineStr">
        <is>
          <t>Ödənişli abunəçi</t>
        </is>
      </c>
      <c r="B16" s="8">
        <f>'36 Aylıq Maliyyə'!G14</f>
        <v/>
      </c>
      <c r="C16" s="8">
        <f>'36 Aylıq Maliyyə'!G20</f>
        <v/>
      </c>
      <c r="D16" s="8">
        <f>'36 Aylıq Maliyyə'!G26</f>
        <v/>
      </c>
      <c r="E16" s="8">
        <f>'36 Aylıq Maliyyə'!G38</f>
        <v/>
      </c>
    </row>
    <row r="17">
      <c r="A17" s="4" t="inlineStr">
        <is>
          <t>Aylıq NET $</t>
        </is>
      </c>
      <c r="B17" s="9">
        <f>'36 Aylıq Maliyyə'!V14</f>
        <v/>
      </c>
      <c r="C17" s="9">
        <f>'36 Aylıq Maliyyə'!V20</f>
        <v/>
      </c>
      <c r="D17" s="9">
        <f>'36 Aylıq Maliyyə'!V26</f>
        <v/>
      </c>
      <c r="E17" s="9">
        <f>'36 Aylıq Maliyyə'!V38</f>
        <v/>
      </c>
    </row>
    <row r="18">
      <c r="A18" s="10" t="inlineStr">
        <is>
          <t>Yığılmış kassa $</t>
        </is>
      </c>
      <c r="B18" s="8">
        <f>'36 Aylıq Maliyyə'!W14</f>
        <v/>
      </c>
      <c r="C18" s="8">
        <f>'36 Aylıq Maliyyə'!W20</f>
        <v/>
      </c>
      <c r="D18" s="8">
        <f>'36 Aylıq Maliyyə'!W26</f>
        <v/>
      </c>
      <c r="E18" s="8">
        <f>'36 Aylıq Maliyyə'!W38</f>
        <v/>
      </c>
    </row>
    <row r="19">
      <c r="A19" s="10" t="inlineStr">
        <is>
          <t>Komanda (nəfər)</t>
        </is>
      </c>
      <c r="B19" s="11">
        <f>'36 Aylıq Maliyyə'!L14</f>
        <v/>
      </c>
      <c r="C19" s="11">
        <f>'36 Aylıq Maliyyə'!L20</f>
        <v/>
      </c>
      <c r="D19" s="11">
        <f>'36 Aylıq Maliyyə'!L26</f>
        <v/>
      </c>
      <c r="E19" s="11">
        <f>'36 Aylıq Maliyyə'!L38</f>
        <v/>
      </c>
    </row>
    <row r="21">
      <c r="A21" s="12" t="inlineStr">
        <is>
          <t>İstifadə yönü: komanda ~%55 · məhsul/infra ~%15 · marketinq ~%20 · əməliyyat/inzibati ~%10</t>
        </is>
      </c>
    </row>
    <row r="22">
      <c r="A22" s="6" t="inlineStr">
        <is>
          <t>Valyuta USD (AZN üçün ×1.70). Bütün rəqəmlər «Fərziyyələr»dən avtomatik hesablanır.</t>
        </is>
      </c>
    </row>
  </sheetData>
  <mergeCells count="10">
    <mergeCell ref="D8:E8"/>
    <mergeCell ref="A2:F2"/>
    <mergeCell ref="D6:E6"/>
    <mergeCell ref="A10:F10"/>
    <mergeCell ref="D7:E7"/>
    <mergeCell ref="A1:F1"/>
    <mergeCell ref="D5:E5"/>
    <mergeCell ref="A22:F22"/>
    <mergeCell ref="A4:F4"/>
    <mergeCell ref="A21:F2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5"/>
  <sheetViews>
    <sheetView showGridLines="0" workbookViewId="0">
      <selection activeCell="A1" sqref="A1"/>
    </sheetView>
  </sheetViews>
  <sheetFormatPr baseColWidth="8" defaultRowHeight="15"/>
  <cols>
    <col width="6" customWidth="1" min="1" max="1"/>
    <col width="30" customWidth="1" min="2" max="2"/>
    <col width="70" customWidth="1" min="3" max="3"/>
    <col width="30" customWidth="1" min="4" max="4"/>
  </cols>
  <sheetData>
    <row r="1" ht="26" customHeight="1">
      <c r="A1" s="1" t="inlineStr">
        <is>
          <t>MƏHSUL AXINI — QİYMƏTDƏN ÇATDIRILMAYA</t>
        </is>
      </c>
    </row>
    <row r="2">
      <c r="A2" s="7" t="inlineStr">
        <is>
          <t>Addım</t>
        </is>
      </c>
      <c r="B2" s="7" t="inlineStr">
        <is>
          <t>Mərhələ</t>
        </is>
      </c>
      <c r="C2" s="7" t="inlineStr">
        <is>
          <t>Nə baş verir</t>
        </is>
      </c>
      <c r="D2" s="7" t="inlineStr">
        <is>
          <t>Bizim gəlir / rol</t>
        </is>
      </c>
    </row>
    <row r="3" ht="40" customHeight="1">
      <c r="A3" s="13" t="inlineStr">
        <is>
          <t>1</t>
        </is>
      </c>
      <c r="B3" s="14" t="inlineStr">
        <is>
          <t>Model</t>
        </is>
      </c>
      <c r="C3" s="15" t="inlineStr">
        <is>
          <t>İstifadəçi: (a) kitabxanadan hazır model seçir, (b) brauzer CAD-da qurur, və ya (c) öz STL/STEP faylını yükləyir</t>
        </is>
      </c>
      <c r="D3" s="15" t="inlineStr">
        <is>
          <t>Abunə (CAD/alət istifadəsi)</t>
        </is>
      </c>
    </row>
    <row r="4" ht="40" customHeight="1">
      <c r="A4" s="13" t="inlineStr">
        <is>
          <t>2</t>
        </is>
      </c>
      <c r="B4" s="14" t="inlineStr">
        <is>
          <t>Anında qiymət</t>
        </is>
      </c>
      <c r="C4" s="15" t="inlineStr">
        <is>
          <t>Material, ölçü, miqdar, emal vaxtı əsasında saniyələrlə qiymət</t>
        </is>
      </c>
      <c r="D4" s="15" t="inlineStr">
        <is>
          <t>—</t>
        </is>
      </c>
    </row>
    <row r="5" ht="40" customHeight="1">
      <c r="A5" s="13" t="inlineStr">
        <is>
          <t>3</t>
        </is>
      </c>
      <c r="B5" s="14" t="inlineStr">
        <is>
          <t>Sifariş + ödəniş</t>
        </is>
      </c>
      <c r="C5" s="15" t="inlineStr">
        <is>
          <t>İstifadəçi sifariş verir və tam məbləği ödəyir (Stripe)</t>
        </is>
      </c>
      <c r="D5" s="15" t="inlineStr">
        <is>
          <t>Ödənişi biz toplayırıq</t>
        </is>
      </c>
    </row>
    <row r="6" ht="40" customHeight="1">
      <c r="A6" s="13" t="inlineStr">
        <is>
          <t>4</t>
        </is>
      </c>
      <c r="B6" s="14" t="inlineStr">
        <is>
          <t>Supplier marşrutlaşdırma</t>
        </is>
      </c>
      <c r="C6" s="15" t="inlineStr">
        <is>
          <t>Sifariş ən uyğun supplier emalatxanasına (CNC/3D-print) yönləndirilir</t>
        </is>
      </c>
      <c r="D6" s="15" t="inlineStr">
        <is>
          <t>Supplier şəbəkəsi</t>
        </is>
      </c>
    </row>
    <row r="7" ht="40" customHeight="1">
      <c r="A7" s="13" t="inlineStr">
        <is>
          <t>5</t>
        </is>
      </c>
      <c r="B7" s="14" t="inlineStr">
        <is>
          <t>İstehsal</t>
        </is>
      </c>
      <c r="C7" s="15" t="inlineStr">
        <is>
          <t>Supplier hissəni hazırlayır; biz statusu izləyirik</t>
        </is>
      </c>
      <c r="D7" s="15" t="inlineStr">
        <is>
          <t>Order ops koordinasiya</t>
        </is>
      </c>
    </row>
    <row r="8" ht="40" customHeight="1">
      <c r="A8" s="13" t="inlineStr">
        <is>
          <t>6</t>
        </is>
      </c>
      <c r="B8" s="14" t="inlineStr">
        <is>
          <t>Keyfiyyət + çatdırılma</t>
        </is>
      </c>
      <c r="C8" s="15" t="inlineStr">
        <is>
          <t>Keyfiyyət yoxlanışı → çatdırılma müştəriyə</t>
        </is>
      </c>
      <c r="D8" s="15" t="inlineStr">
        <is>
          <t>Keyfiyyət/logistika</t>
        </is>
      </c>
    </row>
    <row r="9" ht="40" customHeight="1">
      <c r="A9" s="13" t="inlineStr">
        <is>
          <t>7</t>
        </is>
      </c>
      <c r="B9" s="14" t="inlineStr">
        <is>
          <t>Hesablaşma</t>
        </is>
      </c>
      <c r="C9" s="15" t="inlineStr">
        <is>
          <t>Supplier-ə payout (Stripe Connect); biz marjanı saxlayırıq</t>
        </is>
      </c>
      <c r="D9" s="15" t="inlineStr">
        <is>
          <t>İSTEHSAL MARJASI ~20%</t>
        </is>
      </c>
    </row>
    <row r="10" ht="40" customHeight="1">
      <c r="A10" s="13" t="inlineStr">
        <is>
          <t>8</t>
        </is>
      </c>
      <c r="B10" s="14" t="inlineStr">
        <is>
          <t>Dizayn satışı (opsional)</t>
        </is>
      </c>
      <c r="C10" s="15" t="inlineStr">
        <is>
          <t>Dizayner öz modelini listing kimi satır</t>
        </is>
      </c>
      <c r="D10" s="15" t="inlineStr">
        <is>
          <t>DİZAYN KOMİSSİYA ~8%</t>
        </is>
      </c>
    </row>
    <row r="12">
      <c r="B12" s="16" t="inlineStr">
        <is>
          <t>3 GƏLİR MƏNBƏYİ:</t>
        </is>
      </c>
    </row>
    <row r="13">
      <c r="B13" t="inlineStr">
        <is>
          <t>1) İstehsal marjası (əsas): sifariş GMV × ~20%</t>
        </is>
      </c>
    </row>
    <row r="14">
      <c r="B14" t="inlineStr">
        <is>
          <t>2) Abunə (SaaS): CAD + qiymət alətləri, $9–$99/ay</t>
        </is>
      </c>
    </row>
    <row r="15">
      <c r="B15" t="inlineStr">
        <is>
          <t>3) Dizayn marketplace komissiya: ~8%</t>
        </is>
      </c>
    </row>
  </sheetData>
  <mergeCells count="1">
    <mergeCell ref="A1:D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8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28" customWidth="1" min="2" max="2"/>
    <col width="12" customWidth="1" min="3" max="3"/>
    <col width="44" customWidth="1" min="4" max="4"/>
    <col width="12" customWidth="1" min="5" max="5"/>
    <col width="11" customWidth="1" min="6" max="6"/>
  </cols>
  <sheetData>
    <row r="1" ht="26" customHeight="1">
      <c r="A1" s="1" t="inlineStr">
        <is>
          <t>KOMANDA, ROLLAR, MAAŞLAR (aylıq brüt USD) — kim nə edir</t>
        </is>
      </c>
    </row>
    <row r="2">
      <c r="A2" s="7" t="inlineStr">
        <is>
          <t>#</t>
        </is>
      </c>
      <c r="B2" s="7" t="inlineStr">
        <is>
          <t>Rol / Vəzifə</t>
        </is>
      </c>
      <c r="C2" s="7" t="inlineStr">
        <is>
          <t>Başlama</t>
        </is>
      </c>
      <c r="D2" s="7" t="inlineStr">
        <is>
          <t>Əsas məsuliyyət</t>
        </is>
      </c>
      <c r="E2" s="7" t="inlineStr">
        <is>
          <t>Maaş $</t>
        </is>
      </c>
      <c r="F2" s="7" t="inlineStr">
        <is>
          <t>Tip</t>
        </is>
      </c>
    </row>
    <row r="3" ht="30" customHeight="1">
      <c r="A3" s="17" t="n">
        <v>1</v>
      </c>
      <c r="B3" s="4" t="inlineStr">
        <is>
          <t>CEO / Təsisçi</t>
        </is>
      </c>
      <c r="C3" s="17" t="inlineStr">
        <is>
          <t>Ay 1</t>
        </is>
      </c>
      <c r="D3" s="15" t="inlineStr">
        <is>
          <t>Strategiya, investor, partnyorluq, supplier müqavilələri, ümumi idarəetmə</t>
        </is>
      </c>
      <c r="E3" s="8" t="n">
        <v>1500</v>
      </c>
      <c r="F3" s="17" t="inlineStr">
        <is>
          <t>Tam</t>
        </is>
      </c>
    </row>
    <row r="4" ht="30" customHeight="1">
      <c r="A4" s="17" t="n">
        <v>2</v>
      </c>
      <c r="B4" s="4" t="inlineStr">
        <is>
          <t>CTO / Lead CAD developer</t>
        </is>
      </c>
      <c r="C4" s="17" t="inlineStr">
        <is>
          <t>Ay 1</t>
        </is>
      </c>
      <c r="D4" s="15" t="inlineStr">
        <is>
          <t>Brauzer CAD (Three.js+CSG), qiymət mühərriki, arxitektura, kod nəzarəti</t>
        </is>
      </c>
      <c r="E4" s="8" t="n">
        <v>2500</v>
      </c>
      <c r="F4" s="17" t="inlineStr">
        <is>
          <t>Tam</t>
        </is>
      </c>
    </row>
    <row r="5" ht="30" customHeight="1">
      <c r="A5" s="17" t="n">
        <v>3</v>
      </c>
      <c r="B5" s="4" t="inlineStr">
        <is>
          <t>Frontend developer</t>
        </is>
      </c>
      <c r="C5" s="17" t="inlineStr">
        <is>
          <t>Ay 2</t>
        </is>
      </c>
      <c r="D5" s="15" t="inlineStr">
        <is>
          <t>UI, qaleriya, redaktor, sifariş axını, paket/limit ekranları</t>
        </is>
      </c>
      <c r="E5" s="8" t="n">
        <v>1500</v>
      </c>
      <c r="F5" s="17" t="inlineStr">
        <is>
          <t>Tam</t>
        </is>
      </c>
    </row>
    <row r="6" ht="30" customHeight="1">
      <c r="A6" s="17" t="n">
        <v>4</v>
      </c>
      <c r="B6" s="4" t="inlineStr">
        <is>
          <t>UI/UX designer</t>
        </is>
      </c>
      <c r="C6" s="17" t="inlineStr">
        <is>
          <t>Ay 4</t>
        </is>
      </c>
      <c r="D6" s="15" t="inlineStr">
        <is>
          <t>Dizayn sistemi, sifariş &amp; checkout UX, marketplace UX, brendli PDF</t>
        </is>
      </c>
      <c r="E6" s="8" t="n">
        <v>1200</v>
      </c>
      <c r="F6" s="17" t="inlineStr">
        <is>
          <t>Tam</t>
        </is>
      </c>
    </row>
    <row r="7" ht="30" customHeight="1">
      <c r="A7" s="17" t="n">
        <v>5</v>
      </c>
      <c r="B7" s="4" t="inlineStr">
        <is>
          <t>Backend developer</t>
        </is>
      </c>
      <c r="C7" s="17" t="inlineStr">
        <is>
          <t>Ay 4</t>
        </is>
      </c>
      <c r="D7" s="15" t="inlineStr">
        <is>
          <t>Auth, DB, sifariş/ödəniş, Stripe Connect payout, API, anti-abuse</t>
        </is>
      </c>
      <c r="E7" s="8" t="n">
        <v>1800</v>
      </c>
      <c r="F7" s="17" t="inlineStr">
        <is>
          <t>Tam</t>
        </is>
      </c>
    </row>
    <row r="8" ht="30" customHeight="1">
      <c r="A8" s="17" t="n">
        <v>6</v>
      </c>
      <c r="B8" s="4" t="inlineStr">
        <is>
          <t>Operations / Supplier Manager</t>
        </is>
      </c>
      <c r="C8" s="17" t="inlineStr">
        <is>
          <t>Ay 6</t>
        </is>
      </c>
      <c r="D8" s="15" t="inlineStr">
        <is>
          <t>Supplier şəbəkəsi: cəlb, müqavilə, qiymət, keyfiyyət standartı, marşrutlaşdırma</t>
        </is>
      </c>
      <c r="E8" s="8" t="n">
        <v>1400</v>
      </c>
      <c r="F8" s="17" t="inlineStr">
        <is>
          <t>Tam</t>
        </is>
      </c>
    </row>
    <row r="9" ht="30" customHeight="1">
      <c r="A9" s="17" t="n">
        <v>7</v>
      </c>
      <c r="B9" s="4" t="inlineStr">
        <is>
          <t>Marketinq / Growth</t>
        </is>
      </c>
      <c r="C9" s="17" t="inlineStr">
        <is>
          <t>Ay 7</t>
        </is>
      </c>
      <c r="D9" s="15" t="inlineStr">
        <is>
          <t>SEO, kontent, icma, reklam, CAC/LTV, konversiya optimallaşdırma</t>
        </is>
      </c>
      <c r="E9" s="8" t="n">
        <v>1500</v>
      </c>
      <c r="F9" s="17" t="inlineStr">
        <is>
          <t>Tam</t>
        </is>
      </c>
    </row>
    <row r="10" ht="30" customHeight="1">
      <c r="A10" s="17" t="n">
        <v>8</v>
      </c>
      <c r="B10" s="4" t="inlineStr">
        <is>
          <t>Financist / Mühasib</t>
        </is>
      </c>
      <c r="C10" s="17" t="inlineStr">
        <is>
          <t>Ay 7</t>
        </is>
      </c>
      <c r="D10" s="15" t="inlineStr">
        <is>
          <t>Büdcə, cash-flow, vergi/SSF, payout uzlaşma, investor maliyyə paneli</t>
        </is>
      </c>
      <c r="E10" s="8" t="n">
        <v>600</v>
      </c>
      <c r="F10" s="17" t="inlineStr">
        <is>
          <t>Part-time</t>
        </is>
      </c>
    </row>
    <row r="11" ht="30" customHeight="1">
      <c r="A11" s="17" t="n">
        <v>9</v>
      </c>
      <c r="B11" s="4" t="inlineStr">
        <is>
          <t>3D / CAD kontent mütəxəssisi</t>
        </is>
      </c>
      <c r="C11" s="17" t="inlineStr">
        <is>
          <t>Ay 10</t>
        </is>
      </c>
      <c r="D11" s="15" t="inlineStr">
        <is>
          <t>Model kitabxanası, lisenziya yoxlaması, parametrik şablon, moderasiya</t>
        </is>
      </c>
      <c r="E11" s="8" t="n">
        <v>900</v>
      </c>
      <c r="F11" s="17" t="inlineStr">
        <is>
          <t>Tam</t>
        </is>
      </c>
    </row>
    <row r="12" ht="30" customHeight="1">
      <c r="A12" s="17" t="n">
        <v>10</v>
      </c>
      <c r="B12" s="4" t="inlineStr">
        <is>
          <t>Order ops / Logistika</t>
        </is>
      </c>
      <c r="C12" s="17" t="inlineStr">
        <is>
          <t>Ay 10</t>
        </is>
      </c>
      <c r="D12" s="15" t="inlineStr">
        <is>
          <t>Sifariş izləmə, supplier koordinasiya, çatdırılma, keyfiyyət yoxlama, qaytarma</t>
        </is>
      </c>
      <c r="E12" s="8" t="n">
        <v>900</v>
      </c>
      <c r="F12" s="17" t="inlineStr">
        <is>
          <t>Tam</t>
        </is>
      </c>
    </row>
    <row r="13" ht="30" customHeight="1">
      <c r="A13" s="17" t="n">
        <v>11</v>
      </c>
      <c r="B13" s="4" t="inlineStr">
        <is>
          <t>Müştəri dəstəyi</t>
        </is>
      </c>
      <c r="C13" s="17" t="inlineStr">
        <is>
          <t>Ay 13</t>
        </is>
      </c>
      <c r="D13" s="15" t="inlineStr">
        <is>
          <t>Dəstək, onboarding, bug triage, sifariş/marketplace mübahisələri</t>
        </is>
      </c>
      <c r="E13" s="8" t="n">
        <v>800</v>
      </c>
      <c r="F13" s="17" t="inlineStr">
        <is>
          <t>Tam</t>
        </is>
      </c>
    </row>
    <row r="14" ht="30" customHeight="1">
      <c r="A14" s="17" t="n">
        <v>12</v>
      </c>
      <c r="B14" s="4" t="inlineStr">
        <is>
          <t>Frontend / QA developer #2</t>
        </is>
      </c>
      <c r="C14" s="17" t="inlineStr">
        <is>
          <t>Ay 19</t>
        </is>
      </c>
      <c r="D14" s="15" t="inlineStr">
        <is>
          <t>Yeni funksiyalar, test, keyfiyyət, performans, CAD v2</t>
        </is>
      </c>
      <c r="E14" s="8" t="n">
        <v>1500</v>
      </c>
      <c r="F14" s="17" t="inlineStr">
        <is>
          <t>Tam</t>
        </is>
      </c>
    </row>
    <row r="15" ht="30" customHeight="1">
      <c r="A15" s="17" t="n">
        <v>13</v>
      </c>
      <c r="B15" s="4" t="inlineStr">
        <is>
          <t>Sales / BizDev</t>
        </is>
      </c>
      <c r="C15" s="17" t="inlineStr">
        <is>
          <t>Ay 25</t>
        </is>
      </c>
      <c r="D15" s="15" t="inlineStr">
        <is>
          <t>Business/API satışı, B2B, iri supplier &amp; korporativ partnyorluq</t>
        </is>
      </c>
      <c r="E15" s="8" t="n">
        <v>1500</v>
      </c>
      <c r="F15" s="17" t="inlineStr">
        <is>
          <t>Tam</t>
        </is>
      </c>
    </row>
    <row r="16">
      <c r="D16" s="18" t="inlineStr">
        <is>
          <t>Tam komanda aylıq brüt (hamısı işə düşəndə):</t>
        </is>
      </c>
      <c r="E16" s="19">
        <f>SUM(E3:E15)</f>
        <v/>
      </c>
    </row>
    <row r="18">
      <c r="B18" s="12" t="inlineStr">
        <is>
          <t>Qeyd: brüt USD. Faktiki işəgötürən xərci = brüt × 1.25 (vergi/SSF, Fərziyyələr!B17).</t>
        </is>
      </c>
    </row>
  </sheetData>
  <mergeCells count="2">
    <mergeCell ref="A1:F1"/>
    <mergeCell ref="B18:F18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9"/>
  <sheetViews>
    <sheetView showGridLines="0" workbookViewId="0">
      <selection activeCell="A1" sqref="A1"/>
    </sheetView>
  </sheetViews>
  <sheetFormatPr baseColWidth="8" defaultRowHeight="15"/>
  <cols>
    <col width="14" customWidth="1" min="1" max="1"/>
    <col width="28" customWidth="1" min="2" max="2"/>
    <col width="62" customWidth="1" min="3" max="3"/>
    <col width="28" customWidth="1" min="4" max="4"/>
  </cols>
  <sheetData>
    <row r="1" ht="26" customHeight="1">
      <c r="A1" s="1" t="inlineStr">
        <is>
          <t>FAZALI İŞ PLANI — KİM NƏ EDİR / NƏ ÇATDIRILIR</t>
        </is>
      </c>
    </row>
    <row r="2">
      <c r="A2" s="7" t="inlineStr">
        <is>
          <t>Dövr</t>
        </is>
      </c>
      <c r="B2" s="7" t="inlineStr">
        <is>
          <t>Faza</t>
        </is>
      </c>
      <c r="C2" s="7" t="inlineStr">
        <is>
          <t>Kim nə edir</t>
        </is>
      </c>
      <c r="D2" s="7" t="inlineStr">
        <is>
          <t>Çatdırılma</t>
        </is>
      </c>
    </row>
    <row r="3" ht="58" customHeight="1">
      <c r="A3" s="20" t="inlineStr">
        <is>
          <t>Ay 1–3</t>
        </is>
      </c>
      <c r="B3" s="21" t="inlineStr">
        <is>
          <t>Təməl</t>
        </is>
      </c>
      <c r="C3" s="15" t="inlineStr">
        <is>
          <t>CEO: kapital, hüquqi qeydiyyat, ilk supplier danışıqları. CTO: arxitektura + qiymət mühərriki + 3D. Frontend: əsas UI + quote.</t>
        </is>
      </c>
      <c r="D3" s="15" t="inlineStr">
        <is>
          <t>Auth + DB + limit + işlək quote/3D</t>
        </is>
      </c>
    </row>
    <row r="4" ht="58" customHeight="1">
      <c r="A4" s="20" t="inlineStr">
        <is>
          <t>Ay 3–5</t>
        </is>
      </c>
      <c r="B4" s="21" t="inlineStr">
        <is>
          <t>Kitabxana + ödəniş</t>
        </is>
      </c>
      <c r="C4" s="15" t="inlineStr">
        <is>
          <t>CTO/Frontend: model qaleriyası + parametrik ölçü. Backend: Stripe sifariş/ödəniş. UI/UX: checkout axını.</t>
        </is>
      </c>
      <c r="D4" s="15" t="inlineStr">
        <is>
          <t>Lisenziyalı model + sifariş &amp; ödəniş axını</t>
        </is>
      </c>
    </row>
    <row r="5" ht="58" customHeight="1">
      <c r="A5" s="20" t="inlineStr">
        <is>
          <t>Ay 5–7</t>
        </is>
      </c>
      <c r="B5" s="21" t="inlineStr">
        <is>
          <t>Supplier şəbəkəsi</t>
        </is>
      </c>
      <c r="C5" s="15" t="inlineStr">
        <is>
          <t>Ops/Supplier Manager: ilk emalatxanaları cəlb, qiymət/keyfiyyət razılaşması, marşrutlaşdırma. Backend: Stripe Connect payout.</t>
        </is>
      </c>
      <c r="D5" s="15" t="inlineStr">
        <is>
          <t>İlk supplier-lərlə canlı sifariş icrası</t>
        </is>
      </c>
    </row>
    <row r="6" ht="58" customHeight="1">
      <c r="A6" s="20" t="inlineStr">
        <is>
          <t>Ay 7–10</t>
        </is>
      </c>
      <c r="B6" s="21" t="inlineStr">
        <is>
          <t>CAD MVP + marketinq</t>
        </is>
      </c>
      <c r="C6" s="15" t="inlineStr">
        <is>
          <t>CTO: three-bvh-csg redaktor (export). Marketinq: SEO + launch. Frontend: redaktor UI.</t>
        </is>
      </c>
      <c r="D6" s="15" t="inlineStr">
        <is>
          <t>Brauzer CAD v1 + ilk müştəri axını</t>
        </is>
      </c>
    </row>
    <row r="7" ht="58" customHeight="1">
      <c r="A7" s="20" t="inlineStr">
        <is>
          <t>Ay 10–14</t>
        </is>
      </c>
      <c r="B7" s="21" t="inlineStr">
        <is>
          <t>Marketplace + əməliyyat</t>
        </is>
      </c>
      <c r="C7" s="15" t="inlineStr">
        <is>
          <t>Order ops/Logistika: sifariş izləmə, keyfiyyət, çatdırılma. 3D kontent: kitabxana. Dəstək: onboarding.</t>
        </is>
      </c>
      <c r="D7" s="15" t="inlineStr">
        <is>
          <t>Tam sifariş→supplier→çatdırılma dövrü</t>
        </is>
      </c>
    </row>
    <row r="8" ht="58" customHeight="1">
      <c r="A8" s="20" t="inlineStr">
        <is>
          <t>Ay 14–24</t>
        </is>
      </c>
      <c r="B8" s="21" t="inlineStr">
        <is>
          <t>Böyümə</t>
        </is>
      </c>
      <c r="C8" s="15" t="inlineStr">
        <is>
          <t>Marketinq: CAC/LTV, kanallar. Ops: daha çox supplier, regional əhatə. Financist: aylıq hesabat, runway.</t>
        </is>
      </c>
      <c r="D8" s="15" t="inlineStr">
        <is>
          <t>Breakeven-ə çatma, supplier şəbəkəsi genişlənir</t>
        </is>
      </c>
    </row>
    <row r="9" ht="58" customHeight="1">
      <c r="A9" s="20" t="inlineStr">
        <is>
          <t>Ay 24–36</t>
        </is>
      </c>
      <c r="B9" s="21" t="inlineStr">
        <is>
          <t>Miqyas &amp; B2B</t>
        </is>
      </c>
      <c r="C9" s="15" t="inlineStr">
        <is>
          <t>Sales/BizDev: Business/API, korporativ. CTO: STEP export, API. Komanda: stabil əməliyyat.</t>
        </is>
      </c>
      <c r="D9" s="15" t="inlineStr">
        <is>
          <t>B2B müştərilər, beynəlxalq genişlənmə, mənfəət</t>
        </is>
      </c>
    </row>
  </sheetData>
  <mergeCells count="1">
    <mergeCell ref="A1:D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8"/>
  <sheetViews>
    <sheetView showGridLines="0" workbookViewId="0">
      <selection activeCell="A1" sqref="A1"/>
    </sheetView>
  </sheetViews>
  <sheetFormatPr baseColWidth="8" defaultRowHeight="15"/>
  <cols>
    <col width="36" customWidth="1" min="1" max="1"/>
    <col width="10" customWidth="1" min="2" max="2"/>
    <col width="12" customWidth="1" min="3" max="3"/>
    <col width="14" customWidth="1" min="4" max="4"/>
    <col width="40" customWidth="1" min="5" max="5"/>
  </cols>
  <sheetData>
    <row r="1" ht="26" customHeight="1">
      <c r="A1" s="1" t="inlineStr">
        <is>
          <t>KOMPÜTER, AVADANLIQ &amp; PROQRAM (USD)</t>
        </is>
      </c>
    </row>
    <row r="2">
      <c r="A2" s="7" t="inlineStr">
        <is>
          <t>Avadanlıq</t>
        </is>
      </c>
      <c r="B2" s="7" t="inlineStr">
        <is>
          <t>Sayı</t>
        </is>
      </c>
      <c r="C2" s="7" t="inlineStr">
        <is>
          <t>Vahid $</t>
        </is>
      </c>
      <c r="D2" s="7" t="inlineStr">
        <is>
          <t>Cəmi $</t>
        </is>
      </c>
      <c r="E2" s="7" t="inlineStr">
        <is>
          <t>Qeyd</t>
        </is>
      </c>
    </row>
    <row r="3">
      <c r="A3" s="15" t="inlineStr">
        <is>
          <t>Developer iş stansiyası (GPU — CAD/3D)</t>
        </is>
      </c>
      <c r="B3" s="17" t="n">
        <v>5</v>
      </c>
      <c r="C3" s="8" t="n">
        <v>1800</v>
      </c>
      <c r="D3" s="8">
        <f>B3*C3</f>
        <v/>
      </c>
      <c r="E3" s="15" t="inlineStr">
        <is>
          <t>Three.js/CSG render üçün</t>
        </is>
      </c>
    </row>
    <row r="4">
      <c r="A4" s="15" t="inlineStr">
        <is>
          <t>Ofis noutbuku (ops/marketinq/financist/dəstək)</t>
        </is>
      </c>
      <c r="B4" s="17" t="n">
        <v>6</v>
      </c>
      <c r="C4" s="8" t="n">
        <v>900</v>
      </c>
      <c r="D4" s="8">
        <f>B4*C4</f>
        <v/>
      </c>
      <c r="E4" s="15" t="inlineStr">
        <is>
          <t>Qeyri-tex rollar</t>
        </is>
      </c>
    </row>
    <row r="5">
      <c r="A5" s="15" t="inlineStr">
        <is>
          <t>Monitor + klaviatura + siçan</t>
        </is>
      </c>
      <c r="B5" s="17" t="n">
        <v>9</v>
      </c>
      <c r="C5" s="8" t="n">
        <v>300</v>
      </c>
      <c r="D5" s="8">
        <f>B5*C5</f>
        <v/>
      </c>
      <c r="E5" s="15" t="inlineStr">
        <is>
          <t>Hər iş yeri</t>
        </is>
      </c>
    </row>
    <row r="6">
      <c r="A6" s="15" t="inlineStr">
        <is>
          <t>Test cihazları (telefon/tablet)</t>
        </is>
      </c>
      <c r="B6" s="17" t="n">
        <v>1</v>
      </c>
      <c r="C6" s="8" t="n">
        <v>600</v>
      </c>
      <c r="D6" s="8">
        <f>B6*C6</f>
        <v/>
      </c>
      <c r="E6" s="15" t="inlineStr">
        <is>
          <t>Mobil/responsiv test</t>
        </is>
      </c>
    </row>
    <row r="7">
      <c r="A7" s="15" t="inlineStr">
        <is>
          <t>Şəbəkə / NAS / backup</t>
        </is>
      </c>
      <c r="B7" s="17" t="n">
        <v>1</v>
      </c>
      <c r="C7" s="8" t="n">
        <v>700</v>
      </c>
      <c r="D7" s="8">
        <f>B7*C7</f>
        <v/>
      </c>
      <c r="E7" s="15" t="inlineStr">
        <is>
          <t>Yedəkləmə</t>
        </is>
      </c>
    </row>
    <row r="8">
      <c r="A8" s="18" t="inlineStr">
        <is>
          <t>AVADANLIQ CƏMİ (birdəfəlik, fazalı)</t>
        </is>
      </c>
      <c r="D8" s="19">
        <f>SUM(D3:D7)</f>
        <v/>
      </c>
    </row>
    <row r="10">
      <c r="A10" s="7" t="inlineStr">
        <is>
          <t>Proqram / Servis (aylıq)</t>
        </is>
      </c>
      <c r="B10" s="7" t="inlineStr">
        <is>
          <t>Sayı</t>
        </is>
      </c>
      <c r="C10" s="7" t="inlineStr">
        <is>
          <t>Aylıq $</t>
        </is>
      </c>
      <c r="D10" s="7" t="inlineStr">
        <is>
          <t>İllik $</t>
        </is>
      </c>
      <c r="E10" s="7" t="inlineStr">
        <is>
          <t>Qeyd</t>
        </is>
      </c>
    </row>
    <row r="11">
      <c r="A11" s="15" t="inlineStr">
        <is>
          <t>Hosting / Vercel / infra</t>
        </is>
      </c>
      <c r="B11" s="17" t="n">
        <v>1</v>
      </c>
      <c r="C11" s="8" t="n">
        <v>150</v>
      </c>
      <c r="D11" s="8">
        <f>B11*C11*12</f>
        <v/>
      </c>
      <c r="E11" s="15" t="inlineStr">
        <is>
          <t>trafikə görə artır</t>
        </is>
      </c>
    </row>
    <row r="12">
      <c r="A12" s="15" t="inlineStr">
        <is>
          <t>PostgreSQL (Neon/Supabase)</t>
        </is>
      </c>
      <c r="B12" s="17" t="n">
        <v>1</v>
      </c>
      <c r="C12" s="8" t="n">
        <v>60</v>
      </c>
      <c r="D12" s="8">
        <f>B12*C12*12</f>
        <v/>
      </c>
      <c r="E12" s="15" t="inlineStr">
        <is>
          <t>DB</t>
        </is>
      </c>
    </row>
    <row r="13">
      <c r="A13" s="15" t="inlineStr">
        <is>
          <t>Cloudflare R2 / S3</t>
        </is>
      </c>
      <c r="B13" s="17" t="n">
        <v>1</v>
      </c>
      <c r="C13" s="8" t="n">
        <v>40</v>
      </c>
      <c r="D13" s="8">
        <f>B13*C13*12</f>
        <v/>
      </c>
      <c r="E13" s="15" t="inlineStr">
        <is>
          <t>fayl/model saxlama</t>
        </is>
      </c>
    </row>
    <row r="14">
      <c r="A14" s="15" t="inlineStr">
        <is>
          <t>Stripe (Subscriptions+Connect)</t>
        </is>
      </c>
      <c r="B14" s="17" t="n">
        <v>1</v>
      </c>
      <c r="C14" s="8" t="n">
        <v>0</v>
      </c>
      <c r="D14" s="8">
        <f>B14*C14*12</f>
        <v/>
      </c>
      <c r="E14" s="15" t="inlineStr">
        <is>
          <t>~3% faiz — modeldə ayrıca</t>
        </is>
      </c>
    </row>
    <row r="15">
      <c r="A15" s="15" t="inlineStr">
        <is>
          <t>Google Workspace + domen</t>
        </is>
      </c>
      <c r="B15" s="17" t="n">
        <v>13</v>
      </c>
      <c r="C15" s="8" t="n">
        <v>8</v>
      </c>
      <c r="D15" s="8">
        <f>B15*C15*12</f>
        <v/>
      </c>
      <c r="E15" s="15" t="inlineStr">
        <is>
          <t>hər nəfər/ay</t>
        </is>
      </c>
    </row>
    <row r="16">
      <c r="A16" s="15" t="inlineStr">
        <is>
          <t>Figma + analitika + alətlər</t>
        </is>
      </c>
      <c r="B16" s="17" t="n">
        <v>1</v>
      </c>
      <c r="C16" s="8" t="n">
        <v>120</v>
      </c>
      <c r="D16" s="8">
        <f>B16*C16*12</f>
        <v/>
      </c>
      <c r="E16" s="15" t="inlineStr">
        <is>
          <t>komanda lisenziya</t>
        </is>
      </c>
    </row>
    <row r="17">
      <c r="A17" s="15" t="inlineStr">
        <is>
          <t>GitHub / CI / monitoring</t>
        </is>
      </c>
      <c r="B17" s="17" t="n">
        <v>1</v>
      </c>
      <c r="C17" s="8" t="n">
        <v>80</v>
      </c>
      <c r="D17" s="8">
        <f>B17*C17*12</f>
        <v/>
      </c>
      <c r="E17" s="15" t="inlineStr">
        <is>
          <t>DevOps</t>
        </is>
      </c>
    </row>
    <row r="18">
      <c r="A18" s="18" t="inlineStr">
        <is>
          <t>PROQRAM CƏMİ</t>
        </is>
      </c>
      <c r="C18" s="22">
        <f>SUM(C11:C17)</f>
        <v/>
      </c>
      <c r="D18" s="19">
        <f>SUM(D11:D17)</f>
        <v/>
      </c>
    </row>
  </sheetData>
  <mergeCells count="1">
    <mergeCell ref="A1:E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25"/>
  <sheetViews>
    <sheetView showGridLines="0" workbookViewId="0">
      <selection activeCell="A1" sqref="A1"/>
    </sheetView>
  </sheetViews>
  <sheetFormatPr baseColWidth="8" defaultRowHeight="15"/>
  <cols>
    <col width="46" customWidth="1" min="1" max="1"/>
    <col width="14" customWidth="1" min="2" max="2"/>
    <col width="48" customWidth="1" min="3" max="3"/>
  </cols>
  <sheetData>
    <row r="1" ht="26" customHeight="1">
      <c r="A1" s="1" t="inlineStr">
        <is>
          <t>FƏRZİYYƏLƏR — dəyişin, bütün model yenilənir (Orta ssenari)</t>
        </is>
      </c>
    </row>
    <row r="2">
      <c r="A2" s="7" t="inlineStr">
        <is>
          <t>Parametr</t>
        </is>
      </c>
      <c r="B2" s="7" t="inlineStr">
        <is>
          <t>Dəyər</t>
        </is>
      </c>
      <c r="C2" s="7" t="inlineStr">
        <is>
          <t>İzah</t>
        </is>
      </c>
    </row>
    <row r="3">
      <c r="A3" s="15" t="inlineStr">
        <is>
          <t>Başlanğıc aylıq ziyarətçi</t>
        </is>
      </c>
      <c r="B3" s="23" t="n">
        <v>3000</v>
      </c>
      <c r="C3" s="15" t="inlineStr">
        <is>
          <t>1-ci ay</t>
        </is>
      </c>
    </row>
    <row r="4">
      <c r="A4" s="15" t="inlineStr">
        <is>
          <t>Ziyarətçi aylıq artım</t>
        </is>
      </c>
      <c r="B4" s="24" t="n">
        <v>0.1</v>
      </c>
      <c r="C4" s="15" t="inlineStr">
        <is>
          <t>hər ay</t>
        </is>
      </c>
    </row>
    <row r="5">
      <c r="A5" s="15" t="inlineStr">
        <is>
          <t>Sifariş konversiya (% ziyarətçi)</t>
        </is>
      </c>
      <c r="B5" s="25" t="n">
        <v>0.015</v>
      </c>
      <c r="C5" s="15" t="inlineStr">
        <is>
          <t>qiymət alıb sifariş verən</t>
        </is>
      </c>
    </row>
    <row r="6">
      <c r="A6" s="15" t="inlineStr">
        <is>
          <t>Orta sifariş dəyəri AOV ($)</t>
        </is>
      </c>
      <c r="B6" s="23" t="n">
        <v>160</v>
      </c>
      <c r="C6" s="15" t="inlineStr">
        <is>
          <t>CNC/3D hissə</t>
        </is>
      </c>
    </row>
    <row r="7">
      <c r="A7" s="15" t="inlineStr">
        <is>
          <t>İstehsal marjası (take-rate)</t>
        </is>
      </c>
      <c r="B7" s="24" t="n">
        <v>0.2</v>
      </c>
      <c r="C7" s="15" t="inlineStr">
        <is>
          <t>bizə qalan pay</t>
        </is>
      </c>
    </row>
    <row r="8">
      <c r="A8" s="15" t="inlineStr">
        <is>
          <t>Sifariş başına ops xərci ($)</t>
        </is>
      </c>
      <c r="B8" s="23" t="n">
        <v>4</v>
      </c>
      <c r="C8" s="15" t="inlineStr">
        <is>
          <t>keyfiyyət/koordinasiya</t>
        </is>
      </c>
    </row>
    <row r="9">
      <c r="A9" s="15" t="inlineStr">
        <is>
          <t>Pulsuz qeydiyyat (% ziyarətçi)</t>
        </is>
      </c>
      <c r="B9" s="24" t="n">
        <v>0.18</v>
      </c>
      <c r="C9" s="15" t="inlineStr"/>
    </row>
    <row r="10">
      <c r="A10" s="15" t="inlineStr">
        <is>
          <t>Ödənişli konversiya (% yeni pulsuz)</t>
        </is>
      </c>
      <c r="B10" s="24" t="n">
        <v>0.03</v>
      </c>
      <c r="C10" s="15" t="inlineStr"/>
    </row>
    <row r="11">
      <c r="A11" s="15" t="inlineStr">
        <is>
          <t>Aylıq churn (ödənişli)</t>
        </is>
      </c>
      <c r="B11" s="24" t="n">
        <v>0.05</v>
      </c>
      <c r="C11" s="15" t="inlineStr"/>
    </row>
    <row r="12">
      <c r="A12" s="15" t="inlineStr">
        <is>
          <t>Blended ARPU ($/ay)</t>
        </is>
      </c>
      <c r="B12" s="23" t="n">
        <v>24</v>
      </c>
      <c r="C12" s="15" t="inlineStr">
        <is>
          <t>paketlərin ortası</t>
        </is>
      </c>
    </row>
    <row r="13">
      <c r="A13" s="15" t="inlineStr">
        <is>
          <t>Dizayn GMV — ay1 ($)</t>
        </is>
      </c>
      <c r="B13" s="23" t="n">
        <v>500</v>
      </c>
      <c r="C13" s="15" t="inlineStr"/>
    </row>
    <row r="14">
      <c r="A14" s="15" t="inlineStr">
        <is>
          <t>Dizayn GMV artım</t>
        </is>
      </c>
      <c r="B14" s="24" t="n">
        <v>0.12</v>
      </c>
      <c r="C14" s="15" t="inlineStr"/>
    </row>
    <row r="15">
      <c r="A15" s="15" t="inlineStr">
        <is>
          <t>Dizayn komissiya</t>
        </is>
      </c>
      <c r="B15" s="24" t="n">
        <v>0.08</v>
      </c>
      <c r="C15" s="15" t="inlineStr"/>
    </row>
    <row r="16">
      <c r="A16" s="15" t="inlineStr">
        <is>
          <t>Stripe / ödəniş faizi</t>
        </is>
      </c>
      <c r="B16" s="24" t="n">
        <v>0.03</v>
      </c>
      <c r="C16" s="15" t="inlineStr">
        <is>
          <t>tam həcm üzərində</t>
        </is>
      </c>
    </row>
    <row r="17">
      <c r="A17" s="15" t="inlineStr">
        <is>
          <t>Maaş vergi/SSF əmsalı</t>
        </is>
      </c>
      <c r="B17" s="24" t="n">
        <v>0.25</v>
      </c>
      <c r="C17" s="15" t="inlineStr">
        <is>
          <t>işəgötürən</t>
        </is>
      </c>
    </row>
    <row r="18">
      <c r="A18" s="15" t="inlineStr">
        <is>
          <t>Hosting baza ($/ay)</t>
        </is>
      </c>
      <c r="B18" s="23" t="n">
        <v>150</v>
      </c>
      <c r="C18" s="15" t="inlineStr"/>
    </row>
    <row r="19">
      <c r="A19" s="15" t="inlineStr">
        <is>
          <t>Hosting / 10K ziyarətçi ($)</t>
        </is>
      </c>
      <c r="B19" s="23" t="n">
        <v>40</v>
      </c>
      <c r="C19" s="15" t="inlineStr"/>
    </row>
    <row r="20">
      <c r="A20" s="15" t="inlineStr">
        <is>
          <t>Software / nəfər ($/ay)</t>
        </is>
      </c>
      <c r="B20" s="23" t="n">
        <v>60</v>
      </c>
      <c r="C20" s="15" t="inlineStr"/>
    </row>
    <row r="21">
      <c r="A21" s="15" t="inlineStr">
        <is>
          <t>Marketinq — % gəlir</t>
        </is>
      </c>
      <c r="B21" s="24" t="n">
        <v>0.2</v>
      </c>
      <c r="C21" s="15" t="inlineStr"/>
    </row>
    <row r="22">
      <c r="A22" s="15" t="inlineStr">
        <is>
          <t>Marketinq minimum ($/ay)</t>
        </is>
      </c>
      <c r="B22" s="23" t="n">
        <v>600</v>
      </c>
      <c r="C22" s="15" t="inlineStr"/>
    </row>
    <row r="23">
      <c r="A23" s="15" t="inlineStr">
        <is>
          <t>İnzibati baza ($/ay)</t>
        </is>
      </c>
      <c r="B23" s="23" t="n">
        <v>500</v>
      </c>
      <c r="C23" s="15" t="inlineStr"/>
    </row>
    <row r="24">
      <c r="A24" s="15" t="inlineStr">
        <is>
          <t>Başlanğıc kapital / investisiya ($)</t>
        </is>
      </c>
      <c r="B24" s="23" t="n">
        <v>380000</v>
      </c>
      <c r="C24" s="15" t="inlineStr">
        <is>
          <t>seed</t>
        </is>
      </c>
    </row>
    <row r="25">
      <c r="A25" s="15" t="inlineStr">
        <is>
          <t>Launch ayı — gəlir bu aydan başlayır</t>
        </is>
      </c>
      <c r="B25" s="23" t="n">
        <v>6</v>
      </c>
      <c r="C25" s="15" t="inlineStr">
        <is>
          <t>1-5 quruluş, gəlir YOXDUR</t>
        </is>
      </c>
    </row>
  </sheetData>
  <mergeCells count="1">
    <mergeCell ref="A1:C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W39"/>
  <sheetViews>
    <sheetView showGridLines="0"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9" customWidth="1" min="2" max="2"/>
    <col width="10" customWidth="1" min="3" max="3"/>
    <col width="8" customWidth="1" min="4" max="4"/>
    <col width="12" customWidth="1" min="5" max="5"/>
    <col width="12" customWidth="1" min="6" max="6"/>
    <col width="9" customWidth="1" min="7" max="7"/>
    <col width="10" customWidth="1" min="8" max="8"/>
    <col width="11" customWidth="1" min="9" max="9"/>
    <col width="11" customWidth="1" min="10" max="10"/>
    <col width="12" customWidth="1" min="11" max="11"/>
    <col width="9" customWidth="1" min="12" max="12"/>
    <col width="11" customWidth="1" min="13" max="13"/>
    <col width="9" customWidth="1" min="14" max="14"/>
    <col width="9" customWidth="1" min="15" max="15"/>
    <col width="10" customWidth="1" min="16" max="16"/>
    <col width="10" customWidth="1" min="17" max="17"/>
    <col width="10" customWidth="1" min="18" max="18"/>
    <col width="9" customWidth="1" min="19" max="19"/>
    <col width="9" customWidth="1" min="20" max="20"/>
    <col width="12" customWidth="1" min="21" max="21"/>
    <col width="11" customWidth="1" min="22" max="22"/>
    <col width="14" customWidth="1" min="23" max="23"/>
  </cols>
  <sheetData>
    <row r="1" ht="26" customHeight="1">
      <c r="A1" s="1" t="inlineStr">
        <is>
          <t>36 AYLIQ GƏLİR-XƏRC (canlı düstur — Fərziyyələr dəyişdikcə yenilənir)</t>
        </is>
      </c>
    </row>
    <row r="2">
      <c r="A2" s="7" t="inlineStr">
        <is>
          <t>Ay</t>
        </is>
      </c>
      <c r="B2" s="7" t="inlineStr">
        <is>
          <t>Tarix</t>
        </is>
      </c>
      <c r="C2" s="7" t="inlineStr">
        <is>
          <t>Ziyarətçi</t>
        </is>
      </c>
      <c r="D2" s="7" t="inlineStr">
        <is>
          <t>Sifariş</t>
        </is>
      </c>
      <c r="E2" s="7" t="inlineStr">
        <is>
          <t>İstehsal GMV $</t>
        </is>
      </c>
      <c r="F2" s="7" t="inlineStr">
        <is>
          <t>İstehsal gəliri $</t>
        </is>
      </c>
      <c r="G2" s="7" t="inlineStr">
        <is>
          <t>Ödənişli ist.</t>
        </is>
      </c>
      <c r="H2" s="7" t="inlineStr">
        <is>
          <t>Abunə gəliri $</t>
        </is>
      </c>
      <c r="I2" s="7" t="inlineStr">
        <is>
          <t>Dizayn GMV $</t>
        </is>
      </c>
      <c r="J2" s="7" t="inlineStr">
        <is>
          <t>Dizayn kom. $</t>
        </is>
      </c>
      <c r="K2" s="7" t="inlineStr">
        <is>
          <t>ÜMUMİ GƏLİR $</t>
        </is>
      </c>
      <c r="L2" s="7" t="inlineStr">
        <is>
          <t>Komanda</t>
        </is>
      </c>
      <c r="M2" s="7" t="inlineStr">
        <is>
          <t>Maaş+vergi $</t>
        </is>
      </c>
      <c r="N2" s="7" t="inlineStr">
        <is>
          <t>Hosting $</t>
        </is>
      </c>
      <c r="O2" s="7" t="inlineStr">
        <is>
          <t>Software $</t>
        </is>
      </c>
      <c r="P2" s="7" t="inlineStr">
        <is>
          <t>Marketinq $</t>
        </is>
      </c>
      <c r="Q2" s="7" t="inlineStr">
        <is>
          <t>Sifariş ops $</t>
        </is>
      </c>
      <c r="R2" s="7" t="inlineStr">
        <is>
          <t>Avadanlıq $</t>
        </is>
      </c>
      <c r="S2" s="7" t="inlineStr">
        <is>
          <t>İnzibati $</t>
        </is>
      </c>
      <c r="T2" s="7" t="inlineStr">
        <is>
          <t>Stripe $</t>
        </is>
      </c>
      <c r="U2" s="7" t="inlineStr">
        <is>
          <t>ÜMUMİ XƏRC $</t>
        </is>
      </c>
      <c r="V2" s="7" t="inlineStr">
        <is>
          <t>NET $</t>
        </is>
      </c>
      <c r="W2" s="7" t="inlineStr">
        <is>
          <t>Yığılmış kassa $</t>
        </is>
      </c>
    </row>
    <row r="3">
      <c r="A3" s="17" t="n">
        <v>1</v>
      </c>
      <c r="B3" s="17" t="inlineStr">
        <is>
          <t>2026-07</t>
        </is>
      </c>
      <c r="C3" s="26">
        <f>IF(A3&lt;'Fərziyyələr'!$B$25,0,IF(C2=0,'Fərziyyələr'!$B$3,C2*(1+'Fərziyyələr'!$B$4)))</f>
        <v/>
      </c>
      <c r="D3" s="26">
        <f>C3*'Fərziyyələr'!$B$5</f>
        <v/>
      </c>
      <c r="E3" s="26">
        <f>D3*'Fərziyyələr'!$B$6</f>
        <v/>
      </c>
      <c r="F3" s="26">
        <f>E3*'Fərziyyələr'!$B$7</f>
        <v/>
      </c>
      <c r="G3" s="26">
        <f>C3*'Fərziyyələr'!$B$9*'Fərziyyələr'!$B$10</f>
        <v/>
      </c>
      <c r="H3" s="26">
        <f>G3*'Fərziyyələr'!$B$12</f>
        <v/>
      </c>
      <c r="I3" s="26">
        <f>IF(A3&lt;'Fərziyyələr'!$B$25,0,IF(I2=0,'Fərziyyələr'!$B$13,I2*(1+'Fərziyyələr'!$B$14)))</f>
        <v/>
      </c>
      <c r="J3" s="26">
        <f>I3*'Fərziyyələr'!$B$15</f>
        <v/>
      </c>
      <c r="K3" s="27">
        <f>F3+H3+J3</f>
        <v/>
      </c>
      <c r="L3" s="11" t="n">
        <v>2</v>
      </c>
      <c r="M3" s="26">
        <f>4000*(1+'Fərziyyələr'!$B$17)</f>
        <v/>
      </c>
      <c r="N3" s="26">
        <f>'Fərziyyələr'!$B$18+C3/10000*'Fərziyyələr'!$B$19</f>
        <v/>
      </c>
      <c r="O3" s="26">
        <f>L3*'Fərziyyələr'!$B$20</f>
        <v/>
      </c>
      <c r="P3" s="26">
        <f>MAX('Fərziyyələr'!$B$22,K3*'Fərziyyələr'!$B$21)</f>
        <v/>
      </c>
      <c r="Q3" s="26">
        <f>D3*'Fərziyyələr'!$B$8</f>
        <v/>
      </c>
      <c r="R3" s="26" t="n">
        <v>2900</v>
      </c>
      <c r="S3" s="26">
        <f>'Fərziyyələr'!$B$23+0</f>
        <v/>
      </c>
      <c r="T3" s="26">
        <f>(E3+H3+I3)*'Fərziyyələr'!$B$16</f>
        <v/>
      </c>
      <c r="U3" s="27">
        <f>M3+N3+O3+P3+Q3+R3+S3+T3</f>
        <v/>
      </c>
      <c r="V3" s="26">
        <f>K3-U3</f>
        <v/>
      </c>
      <c r="W3" s="26">
        <f>'Fərziyyələr'!$B$24+V3</f>
        <v/>
      </c>
    </row>
    <row r="4">
      <c r="A4" s="17" t="n">
        <v>2</v>
      </c>
      <c r="B4" s="17" t="inlineStr">
        <is>
          <t>2026-08</t>
        </is>
      </c>
      <c r="C4" s="26">
        <f>IF(A4&lt;'Fərziyyələr'!$B$25,0,IF(C3=0,'Fərziyyələr'!$B$3,C3*(1+'Fərziyyələr'!$B$4)))</f>
        <v/>
      </c>
      <c r="D4" s="26">
        <f>C4*'Fərziyyələr'!$B$5</f>
        <v/>
      </c>
      <c r="E4" s="26">
        <f>D4*'Fərziyyələr'!$B$6</f>
        <v/>
      </c>
      <c r="F4" s="26">
        <f>E4*'Fərziyyələr'!$B$7</f>
        <v/>
      </c>
      <c r="G4" s="26">
        <f>G3*(1-'Fərziyyələr'!$B$11)+C4*'Fərziyyələr'!$B$9*'Fərziyyələr'!$B$10</f>
        <v/>
      </c>
      <c r="H4" s="26">
        <f>G4*'Fərziyyələr'!$B$12</f>
        <v/>
      </c>
      <c r="I4" s="26">
        <f>IF(A4&lt;'Fərziyyələr'!$B$25,0,IF(I3=0,'Fərziyyələr'!$B$13,I3*(1+'Fərziyyələr'!$B$14)))</f>
        <v/>
      </c>
      <c r="J4" s="26">
        <f>I4*'Fərziyyələr'!$B$15</f>
        <v/>
      </c>
      <c r="K4" s="27">
        <f>F4+H4+J4</f>
        <v/>
      </c>
      <c r="L4" s="11" t="n">
        <v>3</v>
      </c>
      <c r="M4" s="26">
        <f>5500*(1+'Fərziyyələr'!$B$17)</f>
        <v/>
      </c>
      <c r="N4" s="26">
        <f>'Fərziyyələr'!$B$18+C4/10000*'Fərziyyələr'!$B$19</f>
        <v/>
      </c>
      <c r="O4" s="26">
        <f>L4*'Fərziyyələr'!$B$20</f>
        <v/>
      </c>
      <c r="P4" s="26">
        <f>MAX('Fərziyyələr'!$B$22,K4*'Fərziyyələr'!$B$21)</f>
        <v/>
      </c>
      <c r="Q4" s="26">
        <f>D4*'Fərziyyələr'!$B$8</f>
        <v/>
      </c>
      <c r="R4" s="26" t="n">
        <v>1800</v>
      </c>
      <c r="S4" s="26">
        <f>'Fərziyyələr'!$B$23+0</f>
        <v/>
      </c>
      <c r="T4" s="26">
        <f>(E4+H4+I4)*'Fərziyyələr'!$B$16</f>
        <v/>
      </c>
      <c r="U4" s="27">
        <f>M4+N4+O4+P4+Q4+R4+S4+T4</f>
        <v/>
      </c>
      <c r="V4" s="26">
        <f>K4-U4</f>
        <v/>
      </c>
      <c r="W4" s="26">
        <f>W3+V4</f>
        <v/>
      </c>
    </row>
    <row r="5">
      <c r="A5" s="17" t="n">
        <v>3</v>
      </c>
      <c r="B5" s="17" t="inlineStr">
        <is>
          <t>2026-09</t>
        </is>
      </c>
      <c r="C5" s="26">
        <f>IF(A5&lt;'Fərziyyələr'!$B$25,0,IF(C4=0,'Fərziyyələr'!$B$3,C4*(1+'Fərziyyələr'!$B$4)))</f>
        <v/>
      </c>
      <c r="D5" s="26">
        <f>C5*'Fərziyyələr'!$B$5</f>
        <v/>
      </c>
      <c r="E5" s="26">
        <f>D5*'Fərziyyələr'!$B$6</f>
        <v/>
      </c>
      <c r="F5" s="26">
        <f>E5*'Fərziyyələr'!$B$7</f>
        <v/>
      </c>
      <c r="G5" s="26">
        <f>G4*(1-'Fərziyyələr'!$B$11)+C5*'Fərziyyələr'!$B$9*'Fərziyyələr'!$B$10</f>
        <v/>
      </c>
      <c r="H5" s="26">
        <f>G5*'Fərziyyələr'!$B$12</f>
        <v/>
      </c>
      <c r="I5" s="26">
        <f>IF(A5&lt;'Fərziyyələr'!$B$25,0,IF(I4=0,'Fərziyyələr'!$B$13,I4*(1+'Fərziyyələr'!$B$14)))</f>
        <v/>
      </c>
      <c r="J5" s="26">
        <f>I5*'Fərziyyələr'!$B$15</f>
        <v/>
      </c>
      <c r="K5" s="27">
        <f>F5+H5+J5</f>
        <v/>
      </c>
      <c r="L5" s="11" t="n">
        <v>3</v>
      </c>
      <c r="M5" s="26">
        <f>5500*(1+'Fərziyyələr'!$B$17)</f>
        <v/>
      </c>
      <c r="N5" s="26">
        <f>'Fərziyyələr'!$B$18+C5/10000*'Fərziyyələr'!$B$19</f>
        <v/>
      </c>
      <c r="O5" s="26">
        <f>L5*'Fərziyyələr'!$B$20</f>
        <v/>
      </c>
      <c r="P5" s="26">
        <f>MAX('Fərziyyələr'!$B$22,K5*'Fərziyyələr'!$B$21)</f>
        <v/>
      </c>
      <c r="Q5" s="26">
        <f>D5*'Fərziyyələr'!$B$8</f>
        <v/>
      </c>
      <c r="R5" s="26" t="n">
        <v>0</v>
      </c>
      <c r="S5" s="26">
        <f>'Fərziyyələr'!$B$23+0</f>
        <v/>
      </c>
      <c r="T5" s="26">
        <f>(E5+H5+I5)*'Fərziyyələr'!$B$16</f>
        <v/>
      </c>
      <c r="U5" s="27">
        <f>M5+N5+O5+P5+Q5+R5+S5+T5</f>
        <v/>
      </c>
      <c r="V5" s="26">
        <f>K5-U5</f>
        <v/>
      </c>
      <c r="W5" s="26">
        <f>W4+V5</f>
        <v/>
      </c>
    </row>
    <row r="6">
      <c r="A6" s="17" t="n">
        <v>4</v>
      </c>
      <c r="B6" s="17" t="inlineStr">
        <is>
          <t>2026-10</t>
        </is>
      </c>
      <c r="C6" s="26">
        <f>IF(A6&lt;'Fərziyyələr'!$B$25,0,IF(C5=0,'Fərziyyələr'!$B$3,C5*(1+'Fərziyyələr'!$B$4)))</f>
        <v/>
      </c>
      <c r="D6" s="26">
        <f>C6*'Fərziyyələr'!$B$5</f>
        <v/>
      </c>
      <c r="E6" s="26">
        <f>D6*'Fərziyyələr'!$B$6</f>
        <v/>
      </c>
      <c r="F6" s="26">
        <f>E6*'Fərziyyələr'!$B$7</f>
        <v/>
      </c>
      <c r="G6" s="26">
        <f>G5*(1-'Fərziyyələr'!$B$11)+C6*'Fərziyyələr'!$B$9*'Fərziyyələr'!$B$10</f>
        <v/>
      </c>
      <c r="H6" s="26">
        <f>G6*'Fərziyyələr'!$B$12</f>
        <v/>
      </c>
      <c r="I6" s="26">
        <f>IF(A6&lt;'Fərziyyələr'!$B$25,0,IF(I5=0,'Fərziyyələr'!$B$13,I5*(1+'Fərziyyələr'!$B$14)))</f>
        <v/>
      </c>
      <c r="J6" s="26">
        <f>I6*'Fərziyyələr'!$B$15</f>
        <v/>
      </c>
      <c r="K6" s="27">
        <f>F6+H6+J6</f>
        <v/>
      </c>
      <c r="L6" s="11" t="n">
        <v>5</v>
      </c>
      <c r="M6" s="26">
        <f>8500*(1+'Fərziyyələr'!$B$17)</f>
        <v/>
      </c>
      <c r="N6" s="26">
        <f>'Fərziyyələr'!$B$18+C6/10000*'Fərziyyələr'!$B$19</f>
        <v/>
      </c>
      <c r="O6" s="26">
        <f>L6*'Fərziyyələr'!$B$20</f>
        <v/>
      </c>
      <c r="P6" s="26">
        <f>MAX('Fərziyyələr'!$B$22,K6*'Fərziyyələr'!$B$21)</f>
        <v/>
      </c>
      <c r="Q6" s="26">
        <f>D6*'Fərziyyələr'!$B$8</f>
        <v/>
      </c>
      <c r="R6" s="26" t="n">
        <v>2900</v>
      </c>
      <c r="S6" s="26">
        <f>'Fərziyyələr'!$B$23+0</f>
        <v/>
      </c>
      <c r="T6" s="26">
        <f>(E6+H6+I6)*'Fərziyyələr'!$B$16</f>
        <v/>
      </c>
      <c r="U6" s="27">
        <f>M6+N6+O6+P6+Q6+R6+S6+T6</f>
        <v/>
      </c>
      <c r="V6" s="26">
        <f>K6-U6</f>
        <v/>
      </c>
      <c r="W6" s="26">
        <f>W5+V6</f>
        <v/>
      </c>
    </row>
    <row r="7">
      <c r="A7" s="17" t="n">
        <v>5</v>
      </c>
      <c r="B7" s="17" t="inlineStr">
        <is>
          <t>2026-11</t>
        </is>
      </c>
      <c r="C7" s="26">
        <f>IF(A7&lt;'Fərziyyələr'!$B$25,0,IF(C6=0,'Fərziyyələr'!$B$3,C6*(1+'Fərziyyələr'!$B$4)))</f>
        <v/>
      </c>
      <c r="D7" s="26">
        <f>C7*'Fərziyyələr'!$B$5</f>
        <v/>
      </c>
      <c r="E7" s="26">
        <f>D7*'Fərziyyələr'!$B$6</f>
        <v/>
      </c>
      <c r="F7" s="26">
        <f>E7*'Fərziyyələr'!$B$7</f>
        <v/>
      </c>
      <c r="G7" s="26">
        <f>G6*(1-'Fərziyyələr'!$B$11)+C7*'Fərziyyələr'!$B$9*'Fərziyyələr'!$B$10</f>
        <v/>
      </c>
      <c r="H7" s="26">
        <f>G7*'Fərziyyələr'!$B$12</f>
        <v/>
      </c>
      <c r="I7" s="26">
        <f>IF(A7&lt;'Fərziyyələr'!$B$25,0,IF(I6=0,'Fərziyyələr'!$B$13,I6*(1+'Fərziyyələr'!$B$14)))</f>
        <v/>
      </c>
      <c r="J7" s="26">
        <f>I7*'Fərziyyələr'!$B$15</f>
        <v/>
      </c>
      <c r="K7" s="27">
        <f>F7+H7+J7</f>
        <v/>
      </c>
      <c r="L7" s="11" t="n">
        <v>5</v>
      </c>
      <c r="M7" s="26">
        <f>8500*(1+'Fərziyyələr'!$B$17)</f>
        <v/>
      </c>
      <c r="N7" s="26">
        <f>'Fərziyyələr'!$B$18+C7/10000*'Fərziyyələr'!$B$19</f>
        <v/>
      </c>
      <c r="O7" s="26">
        <f>L7*'Fərziyyələr'!$B$20</f>
        <v/>
      </c>
      <c r="P7" s="26">
        <f>MAX('Fərziyyələr'!$B$22,K7*'Fərziyyələr'!$B$21)</f>
        <v/>
      </c>
      <c r="Q7" s="26">
        <f>D7*'Fərziyyələr'!$B$8</f>
        <v/>
      </c>
      <c r="R7" s="26" t="n">
        <v>0</v>
      </c>
      <c r="S7" s="26">
        <f>'Fərziyyələr'!$B$23+0</f>
        <v/>
      </c>
      <c r="T7" s="26">
        <f>(E7+H7+I7)*'Fərziyyələr'!$B$16</f>
        <v/>
      </c>
      <c r="U7" s="27">
        <f>M7+N7+O7+P7+Q7+R7+S7+T7</f>
        <v/>
      </c>
      <c r="V7" s="26">
        <f>K7-U7</f>
        <v/>
      </c>
      <c r="W7" s="26">
        <f>W6+V7</f>
        <v/>
      </c>
    </row>
    <row r="8">
      <c r="A8" s="17" t="n">
        <v>6</v>
      </c>
      <c r="B8" s="17" t="inlineStr">
        <is>
          <t>2026-12</t>
        </is>
      </c>
      <c r="C8" s="26">
        <f>IF(A8&lt;'Fərziyyələr'!$B$25,0,IF(C7=0,'Fərziyyələr'!$B$3,C7*(1+'Fərziyyələr'!$B$4)))</f>
        <v/>
      </c>
      <c r="D8" s="26">
        <f>C8*'Fərziyyələr'!$B$5</f>
        <v/>
      </c>
      <c r="E8" s="26">
        <f>D8*'Fərziyyələr'!$B$6</f>
        <v/>
      </c>
      <c r="F8" s="26">
        <f>E8*'Fərziyyələr'!$B$7</f>
        <v/>
      </c>
      <c r="G8" s="26">
        <f>G7*(1-'Fərziyyələr'!$B$11)+C8*'Fərziyyələr'!$B$9*'Fərziyyələr'!$B$10</f>
        <v/>
      </c>
      <c r="H8" s="26">
        <f>G8*'Fərziyyələr'!$B$12</f>
        <v/>
      </c>
      <c r="I8" s="26">
        <f>IF(A8&lt;'Fərziyyələr'!$B$25,0,IF(I7=0,'Fərziyyələr'!$B$13,I7*(1+'Fərziyyələr'!$B$14)))</f>
        <v/>
      </c>
      <c r="J8" s="26">
        <f>I8*'Fərziyyələr'!$B$15</f>
        <v/>
      </c>
      <c r="K8" s="27">
        <f>F8+H8+J8</f>
        <v/>
      </c>
      <c r="L8" s="11" t="n">
        <v>6</v>
      </c>
      <c r="M8" s="26">
        <f>9900*(1+'Fərziyyələr'!$B$17)</f>
        <v/>
      </c>
      <c r="N8" s="26">
        <f>'Fərziyyələr'!$B$18+C8/10000*'Fərziyyələr'!$B$19</f>
        <v/>
      </c>
      <c r="O8" s="26">
        <f>L8*'Fərziyyələr'!$B$20</f>
        <v/>
      </c>
      <c r="P8" s="26">
        <f>MAX('Fərziyyələr'!$B$22,K8*'Fərziyyələr'!$B$21)</f>
        <v/>
      </c>
      <c r="Q8" s="26">
        <f>D8*'Fərziyyələr'!$B$8</f>
        <v/>
      </c>
      <c r="R8" s="26" t="n">
        <v>1100</v>
      </c>
      <c r="S8" s="26">
        <f>'Fərziyyələr'!$B$23+0</f>
        <v/>
      </c>
      <c r="T8" s="26">
        <f>(E8+H8+I8)*'Fərziyyələr'!$B$16</f>
        <v/>
      </c>
      <c r="U8" s="27">
        <f>M8+N8+O8+P8+Q8+R8+S8+T8</f>
        <v/>
      </c>
      <c r="V8" s="26">
        <f>K8-U8</f>
        <v/>
      </c>
      <c r="W8" s="26">
        <f>W7+V8</f>
        <v/>
      </c>
    </row>
    <row r="9">
      <c r="A9" s="17" t="n">
        <v>7</v>
      </c>
      <c r="B9" s="17" t="inlineStr">
        <is>
          <t>2027-01</t>
        </is>
      </c>
      <c r="C9" s="26">
        <f>IF(A9&lt;'Fərziyyələr'!$B$25,0,IF(C8=0,'Fərziyyələr'!$B$3,C8*(1+'Fərziyyələr'!$B$4)))</f>
        <v/>
      </c>
      <c r="D9" s="26">
        <f>C9*'Fərziyyələr'!$B$5</f>
        <v/>
      </c>
      <c r="E9" s="26">
        <f>D9*'Fərziyyələr'!$B$6</f>
        <v/>
      </c>
      <c r="F9" s="26">
        <f>E9*'Fərziyyələr'!$B$7</f>
        <v/>
      </c>
      <c r="G9" s="26">
        <f>G8*(1-'Fərziyyələr'!$B$11)+C9*'Fərziyyələr'!$B$9*'Fərziyyələr'!$B$10</f>
        <v/>
      </c>
      <c r="H9" s="26">
        <f>G9*'Fərziyyələr'!$B$12</f>
        <v/>
      </c>
      <c r="I9" s="26">
        <f>IF(A9&lt;'Fərziyyələr'!$B$25,0,IF(I8=0,'Fərziyyələr'!$B$13,I8*(1+'Fərziyyələr'!$B$14)))</f>
        <v/>
      </c>
      <c r="J9" s="26">
        <f>I9*'Fərziyyələr'!$B$15</f>
        <v/>
      </c>
      <c r="K9" s="27">
        <f>F9+H9+J9</f>
        <v/>
      </c>
      <c r="L9" s="11" t="n">
        <v>8</v>
      </c>
      <c r="M9" s="26">
        <f>12000*(1+'Fərziyyələr'!$B$17)</f>
        <v/>
      </c>
      <c r="N9" s="26">
        <f>'Fərziyyələr'!$B$18+C9/10000*'Fərziyyələr'!$B$19</f>
        <v/>
      </c>
      <c r="O9" s="26">
        <f>L9*'Fərziyyələr'!$B$20</f>
        <v/>
      </c>
      <c r="P9" s="26">
        <f>MAX('Fərziyyələr'!$B$22,K9*'Fərziyyələr'!$B$21)</f>
        <v/>
      </c>
      <c r="Q9" s="26">
        <f>D9*'Fərziyyələr'!$B$8</f>
        <v/>
      </c>
      <c r="R9" s="26" t="n">
        <v>2200</v>
      </c>
      <c r="S9" s="26">
        <f>'Fərziyyələr'!$B$23+0</f>
        <v/>
      </c>
      <c r="T9" s="26">
        <f>(E9+H9+I9)*'Fərziyyələr'!$B$16</f>
        <v/>
      </c>
      <c r="U9" s="27">
        <f>M9+N9+O9+P9+Q9+R9+S9+T9</f>
        <v/>
      </c>
      <c r="V9" s="26">
        <f>K9-U9</f>
        <v/>
      </c>
      <c r="W9" s="26">
        <f>W8+V9</f>
        <v/>
      </c>
    </row>
    <row r="10">
      <c r="A10" s="17" t="n">
        <v>8</v>
      </c>
      <c r="B10" s="17" t="inlineStr">
        <is>
          <t>2027-02</t>
        </is>
      </c>
      <c r="C10" s="26">
        <f>IF(A10&lt;'Fərziyyələr'!$B$25,0,IF(C9=0,'Fərziyyələr'!$B$3,C9*(1+'Fərziyyələr'!$B$4)))</f>
        <v/>
      </c>
      <c r="D10" s="26">
        <f>C10*'Fərziyyələr'!$B$5</f>
        <v/>
      </c>
      <c r="E10" s="26">
        <f>D10*'Fərziyyələr'!$B$6</f>
        <v/>
      </c>
      <c r="F10" s="26">
        <f>E10*'Fərziyyələr'!$B$7</f>
        <v/>
      </c>
      <c r="G10" s="26">
        <f>G9*(1-'Fərziyyələr'!$B$11)+C10*'Fərziyyələr'!$B$9*'Fərziyyələr'!$B$10</f>
        <v/>
      </c>
      <c r="H10" s="26">
        <f>G10*'Fərziyyələr'!$B$12</f>
        <v/>
      </c>
      <c r="I10" s="26">
        <f>IF(A10&lt;'Fərziyyələr'!$B$25,0,IF(I9=0,'Fərziyyələr'!$B$13,I9*(1+'Fərziyyələr'!$B$14)))</f>
        <v/>
      </c>
      <c r="J10" s="26">
        <f>I10*'Fərziyyələr'!$B$15</f>
        <v/>
      </c>
      <c r="K10" s="27">
        <f>F10+H10+J10</f>
        <v/>
      </c>
      <c r="L10" s="11" t="n">
        <v>8</v>
      </c>
      <c r="M10" s="26">
        <f>12000*(1+'Fərziyyələr'!$B$17)</f>
        <v/>
      </c>
      <c r="N10" s="26">
        <f>'Fərziyyələr'!$B$18+C10/10000*'Fərziyyələr'!$B$19</f>
        <v/>
      </c>
      <c r="O10" s="26">
        <f>L10*'Fərziyyələr'!$B$20</f>
        <v/>
      </c>
      <c r="P10" s="26">
        <f>MAX('Fərziyyələr'!$B$22,K10*'Fərziyyələr'!$B$21)</f>
        <v/>
      </c>
      <c r="Q10" s="26">
        <f>D10*'Fərziyyələr'!$B$8</f>
        <v/>
      </c>
      <c r="R10" s="26" t="n">
        <v>0</v>
      </c>
      <c r="S10" s="26">
        <f>'Fərziyyələr'!$B$23+0</f>
        <v/>
      </c>
      <c r="T10" s="26">
        <f>(E10+H10+I10)*'Fərziyyələr'!$B$16</f>
        <v/>
      </c>
      <c r="U10" s="27">
        <f>M10+N10+O10+P10+Q10+R10+S10+T10</f>
        <v/>
      </c>
      <c r="V10" s="26">
        <f>K10-U10</f>
        <v/>
      </c>
      <c r="W10" s="26">
        <f>W9+V10</f>
        <v/>
      </c>
    </row>
    <row r="11">
      <c r="A11" s="17" t="n">
        <v>9</v>
      </c>
      <c r="B11" s="17" t="inlineStr">
        <is>
          <t>2027-03</t>
        </is>
      </c>
      <c r="C11" s="26">
        <f>IF(A11&lt;'Fərziyyələr'!$B$25,0,IF(C10=0,'Fərziyyələr'!$B$3,C10*(1+'Fərziyyələr'!$B$4)))</f>
        <v/>
      </c>
      <c r="D11" s="26">
        <f>C11*'Fərziyyələr'!$B$5</f>
        <v/>
      </c>
      <c r="E11" s="26">
        <f>D11*'Fərziyyələr'!$B$6</f>
        <v/>
      </c>
      <c r="F11" s="26">
        <f>E11*'Fərziyyələr'!$B$7</f>
        <v/>
      </c>
      <c r="G11" s="26">
        <f>G10*(1-'Fərziyyələr'!$B$11)+C11*'Fərziyyələr'!$B$9*'Fərziyyələr'!$B$10</f>
        <v/>
      </c>
      <c r="H11" s="26">
        <f>G11*'Fərziyyələr'!$B$12</f>
        <v/>
      </c>
      <c r="I11" s="26">
        <f>IF(A11&lt;'Fərziyyələr'!$B$25,0,IF(I10=0,'Fərziyyələr'!$B$13,I10*(1+'Fərziyyələr'!$B$14)))</f>
        <v/>
      </c>
      <c r="J11" s="26">
        <f>I11*'Fərziyyələr'!$B$15</f>
        <v/>
      </c>
      <c r="K11" s="27">
        <f>F11+H11+J11</f>
        <v/>
      </c>
      <c r="L11" s="11" t="n">
        <v>8</v>
      </c>
      <c r="M11" s="26">
        <f>12000*(1+'Fərziyyələr'!$B$17)</f>
        <v/>
      </c>
      <c r="N11" s="26">
        <f>'Fərziyyələr'!$B$18+C11/10000*'Fərziyyələr'!$B$19</f>
        <v/>
      </c>
      <c r="O11" s="26">
        <f>L11*'Fərziyyələr'!$B$20</f>
        <v/>
      </c>
      <c r="P11" s="26">
        <f>MAX('Fərziyyələr'!$B$22,K11*'Fərziyyələr'!$B$21)</f>
        <v/>
      </c>
      <c r="Q11" s="26">
        <f>D11*'Fərziyyələr'!$B$8</f>
        <v/>
      </c>
      <c r="R11" s="26" t="n">
        <v>0</v>
      </c>
      <c r="S11" s="26">
        <f>'Fərziyyələr'!$B$23+0</f>
        <v/>
      </c>
      <c r="T11" s="26">
        <f>(E11+H11+I11)*'Fərziyyələr'!$B$16</f>
        <v/>
      </c>
      <c r="U11" s="27">
        <f>M11+N11+O11+P11+Q11+R11+S11+T11</f>
        <v/>
      </c>
      <c r="V11" s="26">
        <f>K11-U11</f>
        <v/>
      </c>
      <c r="W11" s="26">
        <f>W10+V11</f>
        <v/>
      </c>
    </row>
    <row r="12">
      <c r="A12" s="17" t="n">
        <v>10</v>
      </c>
      <c r="B12" s="17" t="inlineStr">
        <is>
          <t>2027-04</t>
        </is>
      </c>
      <c r="C12" s="26">
        <f>IF(A12&lt;'Fərziyyələr'!$B$25,0,IF(C11=0,'Fərziyyələr'!$B$3,C11*(1+'Fərziyyələr'!$B$4)))</f>
        <v/>
      </c>
      <c r="D12" s="26">
        <f>C12*'Fərziyyələr'!$B$5</f>
        <v/>
      </c>
      <c r="E12" s="26">
        <f>D12*'Fərziyyələr'!$B$6</f>
        <v/>
      </c>
      <c r="F12" s="26">
        <f>E12*'Fərziyyələr'!$B$7</f>
        <v/>
      </c>
      <c r="G12" s="26">
        <f>G11*(1-'Fərziyyələr'!$B$11)+C12*'Fərziyyələr'!$B$9*'Fərziyyələr'!$B$10</f>
        <v/>
      </c>
      <c r="H12" s="26">
        <f>G12*'Fərziyyələr'!$B$12</f>
        <v/>
      </c>
      <c r="I12" s="26">
        <f>IF(A12&lt;'Fərziyyələr'!$B$25,0,IF(I11=0,'Fərziyyələr'!$B$13,I11*(1+'Fərziyyələr'!$B$14)))</f>
        <v/>
      </c>
      <c r="J12" s="26">
        <f>I12*'Fərziyyələr'!$B$15</f>
        <v/>
      </c>
      <c r="K12" s="27">
        <f>F12+H12+J12</f>
        <v/>
      </c>
      <c r="L12" s="11" t="n">
        <v>10</v>
      </c>
      <c r="M12" s="26">
        <f>13800*(1+'Fərziyyələr'!$B$17)</f>
        <v/>
      </c>
      <c r="N12" s="26">
        <f>'Fərziyyələr'!$B$18+C12/10000*'Fərziyyələr'!$B$19</f>
        <v/>
      </c>
      <c r="O12" s="26">
        <f>L12*'Fərziyyələr'!$B$20</f>
        <v/>
      </c>
      <c r="P12" s="26">
        <f>MAX('Fərziyyələr'!$B$22,K12*'Fərziyyələr'!$B$21)</f>
        <v/>
      </c>
      <c r="Q12" s="26">
        <f>D12*'Fərziyyələr'!$B$8</f>
        <v/>
      </c>
      <c r="R12" s="26" t="n">
        <v>2900</v>
      </c>
      <c r="S12" s="26">
        <f>'Fərziyyələr'!$B$23+0</f>
        <v/>
      </c>
      <c r="T12" s="26">
        <f>(E12+H12+I12)*'Fərziyyələr'!$B$16</f>
        <v/>
      </c>
      <c r="U12" s="27">
        <f>M12+N12+O12+P12+Q12+R12+S12+T12</f>
        <v/>
      </c>
      <c r="V12" s="26">
        <f>K12-U12</f>
        <v/>
      </c>
      <c r="W12" s="26">
        <f>W11+V12</f>
        <v/>
      </c>
    </row>
    <row r="13">
      <c r="A13" s="17" t="n">
        <v>11</v>
      </c>
      <c r="B13" s="17" t="inlineStr">
        <is>
          <t>2027-05</t>
        </is>
      </c>
      <c r="C13" s="26">
        <f>IF(A13&lt;'Fərziyyələr'!$B$25,0,IF(C12=0,'Fərziyyələr'!$B$3,C12*(1+'Fərziyyələr'!$B$4)))</f>
        <v/>
      </c>
      <c r="D13" s="26">
        <f>C13*'Fərziyyələr'!$B$5</f>
        <v/>
      </c>
      <c r="E13" s="26">
        <f>D13*'Fərziyyələr'!$B$6</f>
        <v/>
      </c>
      <c r="F13" s="26">
        <f>E13*'Fərziyyələr'!$B$7</f>
        <v/>
      </c>
      <c r="G13" s="26">
        <f>G12*(1-'Fərziyyələr'!$B$11)+C13*'Fərziyyələr'!$B$9*'Fərziyyələr'!$B$10</f>
        <v/>
      </c>
      <c r="H13" s="26">
        <f>G13*'Fərziyyələr'!$B$12</f>
        <v/>
      </c>
      <c r="I13" s="26">
        <f>IF(A13&lt;'Fərziyyələr'!$B$25,0,IF(I12=0,'Fərziyyələr'!$B$13,I12*(1+'Fərziyyələr'!$B$14)))</f>
        <v/>
      </c>
      <c r="J13" s="26">
        <f>I13*'Fərziyyələr'!$B$15</f>
        <v/>
      </c>
      <c r="K13" s="27">
        <f>F13+H13+J13</f>
        <v/>
      </c>
      <c r="L13" s="11" t="n">
        <v>10</v>
      </c>
      <c r="M13" s="26">
        <f>13800*(1+'Fərziyyələr'!$B$17)</f>
        <v/>
      </c>
      <c r="N13" s="26">
        <f>'Fərziyyələr'!$B$18+C13/10000*'Fərziyyələr'!$B$19</f>
        <v/>
      </c>
      <c r="O13" s="26">
        <f>L13*'Fərziyyələr'!$B$20</f>
        <v/>
      </c>
      <c r="P13" s="26">
        <f>MAX('Fərziyyələr'!$B$22,K13*'Fərziyyələr'!$B$21)</f>
        <v/>
      </c>
      <c r="Q13" s="26">
        <f>D13*'Fərziyyələr'!$B$8</f>
        <v/>
      </c>
      <c r="R13" s="26" t="n">
        <v>0</v>
      </c>
      <c r="S13" s="26">
        <f>'Fərziyyələr'!$B$23+0</f>
        <v/>
      </c>
      <c r="T13" s="26">
        <f>(E13+H13+I13)*'Fərziyyələr'!$B$16</f>
        <v/>
      </c>
      <c r="U13" s="27">
        <f>M13+N13+O13+P13+Q13+R13+S13+T13</f>
        <v/>
      </c>
      <c r="V13" s="26">
        <f>K13-U13</f>
        <v/>
      </c>
      <c r="W13" s="26">
        <f>W12+V13</f>
        <v/>
      </c>
    </row>
    <row r="14">
      <c r="A14" s="17" t="n">
        <v>12</v>
      </c>
      <c r="B14" s="17" t="inlineStr">
        <is>
          <t>2027-06</t>
        </is>
      </c>
      <c r="C14" s="26">
        <f>IF(A14&lt;'Fərziyyələr'!$B$25,0,IF(C13=0,'Fərziyyələr'!$B$3,C13*(1+'Fərziyyələr'!$B$4)))</f>
        <v/>
      </c>
      <c r="D14" s="26">
        <f>C14*'Fərziyyələr'!$B$5</f>
        <v/>
      </c>
      <c r="E14" s="26">
        <f>D14*'Fərziyyələr'!$B$6</f>
        <v/>
      </c>
      <c r="F14" s="26">
        <f>E14*'Fərziyyələr'!$B$7</f>
        <v/>
      </c>
      <c r="G14" s="26">
        <f>G13*(1-'Fərziyyələr'!$B$11)+C14*'Fərziyyələr'!$B$9*'Fərziyyələr'!$B$10</f>
        <v/>
      </c>
      <c r="H14" s="26">
        <f>G14*'Fərziyyələr'!$B$12</f>
        <v/>
      </c>
      <c r="I14" s="26">
        <f>IF(A14&lt;'Fərziyyələr'!$B$25,0,IF(I13=0,'Fərziyyələr'!$B$13,I13*(1+'Fərziyyələr'!$B$14)))</f>
        <v/>
      </c>
      <c r="J14" s="26">
        <f>I14*'Fərziyyələr'!$B$15</f>
        <v/>
      </c>
      <c r="K14" s="27">
        <f>F14+H14+J14</f>
        <v/>
      </c>
      <c r="L14" s="11" t="n">
        <v>10</v>
      </c>
      <c r="M14" s="26">
        <f>13800*(1+'Fərziyyələr'!$B$17)</f>
        <v/>
      </c>
      <c r="N14" s="26">
        <f>'Fərziyyələr'!$B$18+C14/10000*'Fərziyyələr'!$B$19</f>
        <v/>
      </c>
      <c r="O14" s="26">
        <f>L14*'Fərziyyələr'!$B$20</f>
        <v/>
      </c>
      <c r="P14" s="26">
        <f>MAX('Fərziyyələr'!$B$22,K14*'Fərziyyələr'!$B$21)</f>
        <v/>
      </c>
      <c r="Q14" s="26">
        <f>D14*'Fərziyyələr'!$B$8</f>
        <v/>
      </c>
      <c r="R14" s="26" t="n">
        <v>0</v>
      </c>
      <c r="S14" s="26">
        <f>'Fərziyyələr'!$B$23+0</f>
        <v/>
      </c>
      <c r="T14" s="26">
        <f>(E14+H14+I14)*'Fərziyyələr'!$B$16</f>
        <v/>
      </c>
      <c r="U14" s="27">
        <f>M14+N14+O14+P14+Q14+R14+S14+T14</f>
        <v/>
      </c>
      <c r="V14" s="26">
        <f>K14-U14</f>
        <v/>
      </c>
      <c r="W14" s="26">
        <f>W13+V14</f>
        <v/>
      </c>
    </row>
    <row r="15">
      <c r="A15" s="17" t="n">
        <v>13</v>
      </c>
      <c r="B15" s="17" t="inlineStr">
        <is>
          <t>2027-07</t>
        </is>
      </c>
      <c r="C15" s="26">
        <f>IF(A15&lt;'Fərziyyələr'!$B$25,0,IF(C14=0,'Fərziyyələr'!$B$3,C14*(1+'Fərziyyələr'!$B$4)))</f>
        <v/>
      </c>
      <c r="D15" s="26">
        <f>C15*'Fərziyyələr'!$B$5</f>
        <v/>
      </c>
      <c r="E15" s="26">
        <f>D15*'Fərziyyələr'!$B$6</f>
        <v/>
      </c>
      <c r="F15" s="26">
        <f>E15*'Fərziyyələr'!$B$7</f>
        <v/>
      </c>
      <c r="G15" s="26">
        <f>G14*(1-'Fərziyyələr'!$B$11)+C15*'Fərziyyələr'!$B$9*'Fərziyyələr'!$B$10</f>
        <v/>
      </c>
      <c r="H15" s="26">
        <f>G15*'Fərziyyələr'!$B$12</f>
        <v/>
      </c>
      <c r="I15" s="26">
        <f>IF(A15&lt;'Fərziyyələr'!$B$25,0,IF(I14=0,'Fərziyyələr'!$B$13,I14*(1+'Fərziyyələr'!$B$14)))</f>
        <v/>
      </c>
      <c r="J15" s="26">
        <f>I15*'Fərziyyələr'!$B$15</f>
        <v/>
      </c>
      <c r="K15" s="27">
        <f>F15+H15+J15</f>
        <v/>
      </c>
      <c r="L15" s="11" t="n">
        <v>11</v>
      </c>
      <c r="M15" s="26">
        <f>14600*(1+'Fərziyyələr'!$B$17)</f>
        <v/>
      </c>
      <c r="N15" s="26">
        <f>'Fərziyyələr'!$B$18+C15/10000*'Fərziyyələr'!$B$19</f>
        <v/>
      </c>
      <c r="O15" s="26">
        <f>L15*'Fərziyyələr'!$B$20</f>
        <v/>
      </c>
      <c r="P15" s="26">
        <f>MAX('Fərziyyələr'!$B$22,K15*'Fərziyyələr'!$B$21)</f>
        <v/>
      </c>
      <c r="Q15" s="26">
        <f>D15*'Fərziyyələr'!$B$8</f>
        <v/>
      </c>
      <c r="R15" s="26" t="n">
        <v>1100</v>
      </c>
      <c r="S15" s="26">
        <f>'Fərziyyələr'!$B$23+300</f>
        <v/>
      </c>
      <c r="T15" s="26">
        <f>(E15+H15+I15)*'Fərziyyələr'!$B$16</f>
        <v/>
      </c>
      <c r="U15" s="27">
        <f>M15+N15+O15+P15+Q15+R15+S15+T15</f>
        <v/>
      </c>
      <c r="V15" s="26">
        <f>K15-U15</f>
        <v/>
      </c>
      <c r="W15" s="26">
        <f>W14+V15</f>
        <v/>
      </c>
    </row>
    <row r="16">
      <c r="A16" s="17" t="n">
        <v>14</v>
      </c>
      <c r="B16" s="17" t="inlineStr">
        <is>
          <t>2027-08</t>
        </is>
      </c>
      <c r="C16" s="26">
        <f>IF(A16&lt;'Fərziyyələr'!$B$25,0,IF(C15=0,'Fərziyyələr'!$B$3,C15*(1+'Fərziyyələr'!$B$4)))</f>
        <v/>
      </c>
      <c r="D16" s="26">
        <f>C16*'Fərziyyələr'!$B$5</f>
        <v/>
      </c>
      <c r="E16" s="26">
        <f>D16*'Fərziyyələr'!$B$6</f>
        <v/>
      </c>
      <c r="F16" s="26">
        <f>E16*'Fərziyyələr'!$B$7</f>
        <v/>
      </c>
      <c r="G16" s="26">
        <f>G15*(1-'Fərziyyələr'!$B$11)+C16*'Fərziyyələr'!$B$9*'Fərziyyələr'!$B$10</f>
        <v/>
      </c>
      <c r="H16" s="26">
        <f>G16*'Fərziyyələr'!$B$12</f>
        <v/>
      </c>
      <c r="I16" s="26">
        <f>IF(A16&lt;'Fərziyyələr'!$B$25,0,IF(I15=0,'Fərziyyələr'!$B$13,I15*(1+'Fərziyyələr'!$B$14)))</f>
        <v/>
      </c>
      <c r="J16" s="26">
        <f>I16*'Fərziyyələr'!$B$15</f>
        <v/>
      </c>
      <c r="K16" s="27">
        <f>F16+H16+J16</f>
        <v/>
      </c>
      <c r="L16" s="11" t="n">
        <v>11</v>
      </c>
      <c r="M16" s="26">
        <f>14600*(1+'Fərziyyələr'!$B$17)</f>
        <v/>
      </c>
      <c r="N16" s="26">
        <f>'Fərziyyələr'!$B$18+C16/10000*'Fərziyyələr'!$B$19</f>
        <v/>
      </c>
      <c r="O16" s="26">
        <f>L16*'Fərziyyələr'!$B$20</f>
        <v/>
      </c>
      <c r="P16" s="26">
        <f>MAX('Fərziyyələr'!$B$22,K16*'Fərziyyələr'!$B$21)</f>
        <v/>
      </c>
      <c r="Q16" s="26">
        <f>D16*'Fərziyyələr'!$B$8</f>
        <v/>
      </c>
      <c r="R16" s="26" t="n">
        <v>0</v>
      </c>
      <c r="S16" s="26">
        <f>'Fərziyyələr'!$B$23+300</f>
        <v/>
      </c>
      <c r="T16" s="26">
        <f>(E16+H16+I16)*'Fərziyyələr'!$B$16</f>
        <v/>
      </c>
      <c r="U16" s="27">
        <f>M16+N16+O16+P16+Q16+R16+S16+T16</f>
        <v/>
      </c>
      <c r="V16" s="26">
        <f>K16-U16</f>
        <v/>
      </c>
      <c r="W16" s="26">
        <f>W15+V16</f>
        <v/>
      </c>
    </row>
    <row r="17">
      <c r="A17" s="17" t="n">
        <v>15</v>
      </c>
      <c r="B17" s="17" t="inlineStr">
        <is>
          <t>2027-09</t>
        </is>
      </c>
      <c r="C17" s="26">
        <f>IF(A17&lt;'Fərziyyələr'!$B$25,0,IF(C16=0,'Fərziyyələr'!$B$3,C16*(1+'Fərziyyələr'!$B$4)))</f>
        <v/>
      </c>
      <c r="D17" s="26">
        <f>C17*'Fərziyyələr'!$B$5</f>
        <v/>
      </c>
      <c r="E17" s="26">
        <f>D17*'Fərziyyələr'!$B$6</f>
        <v/>
      </c>
      <c r="F17" s="26">
        <f>E17*'Fərziyyələr'!$B$7</f>
        <v/>
      </c>
      <c r="G17" s="26">
        <f>G16*(1-'Fərziyyələr'!$B$11)+C17*'Fərziyyələr'!$B$9*'Fərziyyələr'!$B$10</f>
        <v/>
      </c>
      <c r="H17" s="26">
        <f>G17*'Fərziyyələr'!$B$12</f>
        <v/>
      </c>
      <c r="I17" s="26">
        <f>IF(A17&lt;'Fərziyyələr'!$B$25,0,IF(I16=0,'Fərziyyələr'!$B$13,I16*(1+'Fərziyyələr'!$B$14)))</f>
        <v/>
      </c>
      <c r="J17" s="26">
        <f>I17*'Fərziyyələr'!$B$15</f>
        <v/>
      </c>
      <c r="K17" s="27">
        <f>F17+H17+J17</f>
        <v/>
      </c>
      <c r="L17" s="11" t="n">
        <v>11</v>
      </c>
      <c r="M17" s="26">
        <f>14600*(1+'Fərziyyələr'!$B$17)</f>
        <v/>
      </c>
      <c r="N17" s="26">
        <f>'Fərziyyələr'!$B$18+C17/10000*'Fərziyyələr'!$B$19</f>
        <v/>
      </c>
      <c r="O17" s="26">
        <f>L17*'Fərziyyələr'!$B$20</f>
        <v/>
      </c>
      <c r="P17" s="26">
        <f>MAX('Fərziyyələr'!$B$22,K17*'Fərziyyələr'!$B$21)</f>
        <v/>
      </c>
      <c r="Q17" s="26">
        <f>D17*'Fərziyyələr'!$B$8</f>
        <v/>
      </c>
      <c r="R17" s="26" t="n">
        <v>0</v>
      </c>
      <c r="S17" s="26">
        <f>'Fərziyyələr'!$B$23+300</f>
        <v/>
      </c>
      <c r="T17" s="26">
        <f>(E17+H17+I17)*'Fərziyyələr'!$B$16</f>
        <v/>
      </c>
      <c r="U17" s="27">
        <f>M17+N17+O17+P17+Q17+R17+S17+T17</f>
        <v/>
      </c>
      <c r="V17" s="26">
        <f>K17-U17</f>
        <v/>
      </c>
      <c r="W17" s="26">
        <f>W16+V17</f>
        <v/>
      </c>
    </row>
    <row r="18">
      <c r="A18" s="17" t="n">
        <v>16</v>
      </c>
      <c r="B18" s="17" t="inlineStr">
        <is>
          <t>2027-10</t>
        </is>
      </c>
      <c r="C18" s="26">
        <f>IF(A18&lt;'Fərziyyələr'!$B$25,0,IF(C17=0,'Fərziyyələr'!$B$3,C17*(1+'Fərziyyələr'!$B$4)))</f>
        <v/>
      </c>
      <c r="D18" s="26">
        <f>C18*'Fərziyyələr'!$B$5</f>
        <v/>
      </c>
      <c r="E18" s="26">
        <f>D18*'Fərziyyələr'!$B$6</f>
        <v/>
      </c>
      <c r="F18" s="26">
        <f>E18*'Fərziyyələr'!$B$7</f>
        <v/>
      </c>
      <c r="G18" s="26">
        <f>G17*(1-'Fərziyyələr'!$B$11)+C18*'Fərziyyələr'!$B$9*'Fərziyyələr'!$B$10</f>
        <v/>
      </c>
      <c r="H18" s="26">
        <f>G18*'Fərziyyələr'!$B$12</f>
        <v/>
      </c>
      <c r="I18" s="26">
        <f>IF(A18&lt;'Fərziyyələr'!$B$25,0,IF(I17=0,'Fərziyyələr'!$B$13,I17*(1+'Fərziyyələr'!$B$14)))</f>
        <v/>
      </c>
      <c r="J18" s="26">
        <f>I18*'Fərziyyələr'!$B$15</f>
        <v/>
      </c>
      <c r="K18" s="27">
        <f>F18+H18+J18</f>
        <v/>
      </c>
      <c r="L18" s="11" t="n">
        <v>11</v>
      </c>
      <c r="M18" s="26">
        <f>14600*(1+'Fərziyyələr'!$B$17)</f>
        <v/>
      </c>
      <c r="N18" s="26">
        <f>'Fərziyyələr'!$B$18+C18/10000*'Fərziyyələr'!$B$19</f>
        <v/>
      </c>
      <c r="O18" s="26">
        <f>L18*'Fərziyyələr'!$B$20</f>
        <v/>
      </c>
      <c r="P18" s="26">
        <f>MAX('Fərziyyələr'!$B$22,K18*'Fərziyyələr'!$B$21)</f>
        <v/>
      </c>
      <c r="Q18" s="26">
        <f>D18*'Fərziyyələr'!$B$8</f>
        <v/>
      </c>
      <c r="R18" s="26" t="n">
        <v>0</v>
      </c>
      <c r="S18" s="26">
        <f>'Fərziyyələr'!$B$23+300</f>
        <v/>
      </c>
      <c r="T18" s="26">
        <f>(E18+H18+I18)*'Fərziyyələr'!$B$16</f>
        <v/>
      </c>
      <c r="U18" s="27">
        <f>M18+N18+O18+P18+Q18+R18+S18+T18</f>
        <v/>
      </c>
      <c r="V18" s="26">
        <f>K18-U18</f>
        <v/>
      </c>
      <c r="W18" s="26">
        <f>W17+V18</f>
        <v/>
      </c>
    </row>
    <row r="19">
      <c r="A19" s="17" t="n">
        <v>17</v>
      </c>
      <c r="B19" s="17" t="inlineStr">
        <is>
          <t>2027-11</t>
        </is>
      </c>
      <c r="C19" s="26">
        <f>IF(A19&lt;'Fərziyyələr'!$B$25,0,IF(C18=0,'Fərziyyələr'!$B$3,C18*(1+'Fərziyyələr'!$B$4)))</f>
        <v/>
      </c>
      <c r="D19" s="26">
        <f>C19*'Fərziyyələr'!$B$5</f>
        <v/>
      </c>
      <c r="E19" s="26">
        <f>D19*'Fərziyyələr'!$B$6</f>
        <v/>
      </c>
      <c r="F19" s="26">
        <f>E19*'Fərziyyələr'!$B$7</f>
        <v/>
      </c>
      <c r="G19" s="26">
        <f>G18*(1-'Fərziyyələr'!$B$11)+C19*'Fərziyyələr'!$B$9*'Fərziyyələr'!$B$10</f>
        <v/>
      </c>
      <c r="H19" s="26">
        <f>G19*'Fərziyyələr'!$B$12</f>
        <v/>
      </c>
      <c r="I19" s="26">
        <f>IF(A19&lt;'Fərziyyələr'!$B$25,0,IF(I18=0,'Fərziyyələr'!$B$13,I18*(1+'Fərziyyələr'!$B$14)))</f>
        <v/>
      </c>
      <c r="J19" s="26">
        <f>I19*'Fərziyyələr'!$B$15</f>
        <v/>
      </c>
      <c r="K19" s="27">
        <f>F19+H19+J19</f>
        <v/>
      </c>
      <c r="L19" s="11" t="n">
        <v>11</v>
      </c>
      <c r="M19" s="26">
        <f>14600*(1+'Fərziyyələr'!$B$17)</f>
        <v/>
      </c>
      <c r="N19" s="26">
        <f>'Fərziyyələr'!$B$18+C19/10000*'Fərziyyələr'!$B$19</f>
        <v/>
      </c>
      <c r="O19" s="26">
        <f>L19*'Fərziyyələr'!$B$20</f>
        <v/>
      </c>
      <c r="P19" s="26">
        <f>MAX('Fərziyyələr'!$B$22,K19*'Fərziyyələr'!$B$21)</f>
        <v/>
      </c>
      <c r="Q19" s="26">
        <f>D19*'Fərziyyələr'!$B$8</f>
        <v/>
      </c>
      <c r="R19" s="26" t="n">
        <v>0</v>
      </c>
      <c r="S19" s="26">
        <f>'Fərziyyələr'!$B$23+300</f>
        <v/>
      </c>
      <c r="T19" s="26">
        <f>(E19+H19+I19)*'Fərziyyələr'!$B$16</f>
        <v/>
      </c>
      <c r="U19" s="27">
        <f>M19+N19+O19+P19+Q19+R19+S19+T19</f>
        <v/>
      </c>
      <c r="V19" s="26">
        <f>K19-U19</f>
        <v/>
      </c>
      <c r="W19" s="26">
        <f>W18+V19</f>
        <v/>
      </c>
    </row>
    <row r="20">
      <c r="A20" s="28" t="n">
        <v>18</v>
      </c>
      <c r="B20" s="28" t="inlineStr">
        <is>
          <t>2027-12</t>
        </is>
      </c>
      <c r="C20" s="29">
        <f>IF(A20&lt;'Fərziyyələr'!$B$25,0,IF(C19=0,'Fərziyyələr'!$B$3,C19*(1+'Fərziyyələr'!$B$4)))</f>
        <v/>
      </c>
      <c r="D20" s="29">
        <f>C20*'Fərziyyələr'!$B$5</f>
        <v/>
      </c>
      <c r="E20" s="29">
        <f>D20*'Fərziyyələr'!$B$6</f>
        <v/>
      </c>
      <c r="F20" s="29">
        <f>E20*'Fərziyyələr'!$B$7</f>
        <v/>
      </c>
      <c r="G20" s="29">
        <f>G19*(1-'Fərziyyələr'!$B$11)+C20*'Fərziyyələr'!$B$9*'Fərziyyələr'!$B$10</f>
        <v/>
      </c>
      <c r="H20" s="29">
        <f>G20*'Fərziyyələr'!$B$12</f>
        <v/>
      </c>
      <c r="I20" s="29">
        <f>IF(A20&lt;'Fərziyyələr'!$B$25,0,IF(I19=0,'Fərziyyələr'!$B$13,I19*(1+'Fərziyyələr'!$B$14)))</f>
        <v/>
      </c>
      <c r="J20" s="29">
        <f>I20*'Fərziyyələr'!$B$15</f>
        <v/>
      </c>
      <c r="K20" s="30">
        <f>F20+H20+J20</f>
        <v/>
      </c>
      <c r="L20" s="31" t="n">
        <v>11</v>
      </c>
      <c r="M20" s="29">
        <f>14600*(1+'Fərziyyələr'!$B$17)</f>
        <v/>
      </c>
      <c r="N20" s="29">
        <f>'Fərziyyələr'!$B$18+C20/10000*'Fərziyyələr'!$B$19</f>
        <v/>
      </c>
      <c r="O20" s="29">
        <f>L20*'Fərziyyələr'!$B$20</f>
        <v/>
      </c>
      <c r="P20" s="29">
        <f>MAX('Fərziyyələr'!$B$22,K20*'Fərziyyələr'!$B$21)</f>
        <v/>
      </c>
      <c r="Q20" s="29">
        <f>D20*'Fərziyyələr'!$B$8</f>
        <v/>
      </c>
      <c r="R20" s="29" t="n">
        <v>0</v>
      </c>
      <c r="S20" s="29">
        <f>'Fərziyyələr'!$B$23+300</f>
        <v/>
      </c>
      <c r="T20" s="29">
        <f>(E20+H20+I20)*'Fərziyyələr'!$B$16</f>
        <v/>
      </c>
      <c r="U20" s="30">
        <f>M20+N20+O20+P20+Q20+R20+S20+T20</f>
        <v/>
      </c>
      <c r="V20" s="29">
        <f>K20-U20</f>
        <v/>
      </c>
      <c r="W20" s="29">
        <f>W19+V20</f>
        <v/>
      </c>
    </row>
    <row r="21">
      <c r="A21" s="17" t="n">
        <v>19</v>
      </c>
      <c r="B21" s="17" t="inlineStr">
        <is>
          <t>2028-01</t>
        </is>
      </c>
      <c r="C21" s="26">
        <f>IF(A21&lt;'Fərziyyələr'!$B$25,0,IF(C20=0,'Fərziyyələr'!$B$3,C20*(1+'Fərziyyələr'!$B$4)))</f>
        <v/>
      </c>
      <c r="D21" s="26">
        <f>C21*'Fərziyyələr'!$B$5</f>
        <v/>
      </c>
      <c r="E21" s="26">
        <f>D21*'Fərziyyələr'!$B$6</f>
        <v/>
      </c>
      <c r="F21" s="26">
        <f>E21*'Fərziyyələr'!$B$7</f>
        <v/>
      </c>
      <c r="G21" s="26">
        <f>G20*(1-'Fərziyyələr'!$B$11)+C21*'Fərziyyələr'!$B$9*'Fərziyyələr'!$B$10</f>
        <v/>
      </c>
      <c r="H21" s="26">
        <f>G21*'Fərziyyələr'!$B$12</f>
        <v/>
      </c>
      <c r="I21" s="26">
        <f>IF(A21&lt;'Fərziyyələr'!$B$25,0,IF(I20=0,'Fərziyyələr'!$B$13,I20*(1+'Fərziyyələr'!$B$14)))</f>
        <v/>
      </c>
      <c r="J21" s="26">
        <f>I21*'Fərziyyələr'!$B$15</f>
        <v/>
      </c>
      <c r="K21" s="27">
        <f>F21+H21+J21</f>
        <v/>
      </c>
      <c r="L21" s="11" t="n">
        <v>12</v>
      </c>
      <c r="M21" s="26">
        <f>16100*(1+'Fərziyyələr'!$B$17)</f>
        <v/>
      </c>
      <c r="N21" s="26">
        <f>'Fərziyyələr'!$B$18+C21/10000*'Fərziyyələr'!$B$19</f>
        <v/>
      </c>
      <c r="O21" s="26">
        <f>L21*'Fərziyyələr'!$B$20</f>
        <v/>
      </c>
      <c r="P21" s="26">
        <f>MAX('Fərziyyələr'!$B$22,K21*'Fərziyyələr'!$B$21)</f>
        <v/>
      </c>
      <c r="Q21" s="26">
        <f>D21*'Fərziyyələr'!$B$8</f>
        <v/>
      </c>
      <c r="R21" s="26" t="n">
        <v>1800</v>
      </c>
      <c r="S21" s="26">
        <f>'Fərziyyələr'!$B$23+300</f>
        <v/>
      </c>
      <c r="T21" s="26">
        <f>(E21+H21+I21)*'Fərziyyələr'!$B$16</f>
        <v/>
      </c>
      <c r="U21" s="27">
        <f>M21+N21+O21+P21+Q21+R21+S21+T21</f>
        <v/>
      </c>
      <c r="V21" s="26">
        <f>K21-U21</f>
        <v/>
      </c>
      <c r="W21" s="26">
        <f>W20+V21</f>
        <v/>
      </c>
    </row>
    <row r="22">
      <c r="A22" s="17" t="n">
        <v>20</v>
      </c>
      <c r="B22" s="17" t="inlineStr">
        <is>
          <t>2028-02</t>
        </is>
      </c>
      <c r="C22" s="26">
        <f>IF(A22&lt;'Fərziyyələr'!$B$25,0,IF(C21=0,'Fərziyyələr'!$B$3,C21*(1+'Fərziyyələr'!$B$4)))</f>
        <v/>
      </c>
      <c r="D22" s="26">
        <f>C22*'Fərziyyələr'!$B$5</f>
        <v/>
      </c>
      <c r="E22" s="26">
        <f>D22*'Fərziyyələr'!$B$6</f>
        <v/>
      </c>
      <c r="F22" s="26">
        <f>E22*'Fərziyyələr'!$B$7</f>
        <v/>
      </c>
      <c r="G22" s="26">
        <f>G21*(1-'Fərziyyələr'!$B$11)+C22*'Fərziyyələr'!$B$9*'Fərziyyələr'!$B$10</f>
        <v/>
      </c>
      <c r="H22" s="26">
        <f>G22*'Fərziyyələr'!$B$12</f>
        <v/>
      </c>
      <c r="I22" s="26">
        <f>IF(A22&lt;'Fərziyyələr'!$B$25,0,IF(I21=0,'Fərziyyələr'!$B$13,I21*(1+'Fərziyyələr'!$B$14)))</f>
        <v/>
      </c>
      <c r="J22" s="26">
        <f>I22*'Fərziyyələr'!$B$15</f>
        <v/>
      </c>
      <c r="K22" s="27">
        <f>F22+H22+J22</f>
        <v/>
      </c>
      <c r="L22" s="11" t="n">
        <v>12</v>
      </c>
      <c r="M22" s="26">
        <f>16100*(1+'Fərziyyələr'!$B$17)</f>
        <v/>
      </c>
      <c r="N22" s="26">
        <f>'Fərziyyələr'!$B$18+C22/10000*'Fərziyyələr'!$B$19</f>
        <v/>
      </c>
      <c r="O22" s="26">
        <f>L22*'Fərziyyələr'!$B$20</f>
        <v/>
      </c>
      <c r="P22" s="26">
        <f>MAX('Fərziyyələr'!$B$22,K22*'Fərziyyələr'!$B$21)</f>
        <v/>
      </c>
      <c r="Q22" s="26">
        <f>D22*'Fərziyyələr'!$B$8</f>
        <v/>
      </c>
      <c r="R22" s="26" t="n">
        <v>0</v>
      </c>
      <c r="S22" s="26">
        <f>'Fərziyyələr'!$B$23+300</f>
        <v/>
      </c>
      <c r="T22" s="26">
        <f>(E22+H22+I22)*'Fərziyyələr'!$B$16</f>
        <v/>
      </c>
      <c r="U22" s="27">
        <f>M22+N22+O22+P22+Q22+R22+S22+T22</f>
        <v/>
      </c>
      <c r="V22" s="26">
        <f>K22-U22</f>
        <v/>
      </c>
      <c r="W22" s="26">
        <f>W21+V22</f>
        <v/>
      </c>
    </row>
    <row r="23">
      <c r="A23" s="17" t="n">
        <v>21</v>
      </c>
      <c r="B23" s="17" t="inlineStr">
        <is>
          <t>2028-03</t>
        </is>
      </c>
      <c r="C23" s="26">
        <f>IF(A23&lt;'Fərziyyələr'!$B$25,0,IF(C22=0,'Fərziyyələr'!$B$3,C22*(1+'Fərziyyələr'!$B$4)))</f>
        <v/>
      </c>
      <c r="D23" s="26">
        <f>C23*'Fərziyyələr'!$B$5</f>
        <v/>
      </c>
      <c r="E23" s="26">
        <f>D23*'Fərziyyələr'!$B$6</f>
        <v/>
      </c>
      <c r="F23" s="26">
        <f>E23*'Fərziyyələr'!$B$7</f>
        <v/>
      </c>
      <c r="G23" s="26">
        <f>G22*(1-'Fərziyyələr'!$B$11)+C23*'Fərziyyələr'!$B$9*'Fərziyyələr'!$B$10</f>
        <v/>
      </c>
      <c r="H23" s="26">
        <f>G23*'Fərziyyələr'!$B$12</f>
        <v/>
      </c>
      <c r="I23" s="26">
        <f>IF(A23&lt;'Fərziyyələr'!$B$25,0,IF(I22=0,'Fərziyyələr'!$B$13,I22*(1+'Fərziyyələr'!$B$14)))</f>
        <v/>
      </c>
      <c r="J23" s="26">
        <f>I23*'Fərziyyələr'!$B$15</f>
        <v/>
      </c>
      <c r="K23" s="27">
        <f>F23+H23+J23</f>
        <v/>
      </c>
      <c r="L23" s="11" t="n">
        <v>12</v>
      </c>
      <c r="M23" s="26">
        <f>16100*(1+'Fərziyyələr'!$B$17)</f>
        <v/>
      </c>
      <c r="N23" s="26">
        <f>'Fərziyyələr'!$B$18+C23/10000*'Fərziyyələr'!$B$19</f>
        <v/>
      </c>
      <c r="O23" s="26">
        <f>L23*'Fərziyyələr'!$B$20</f>
        <v/>
      </c>
      <c r="P23" s="26">
        <f>MAX('Fərziyyələr'!$B$22,K23*'Fərziyyələr'!$B$21)</f>
        <v/>
      </c>
      <c r="Q23" s="26">
        <f>D23*'Fərziyyələr'!$B$8</f>
        <v/>
      </c>
      <c r="R23" s="26" t="n">
        <v>0</v>
      </c>
      <c r="S23" s="26">
        <f>'Fərziyyələr'!$B$23+300</f>
        <v/>
      </c>
      <c r="T23" s="26">
        <f>(E23+H23+I23)*'Fərziyyələr'!$B$16</f>
        <v/>
      </c>
      <c r="U23" s="27">
        <f>M23+N23+O23+P23+Q23+R23+S23+T23</f>
        <v/>
      </c>
      <c r="V23" s="26">
        <f>K23-U23</f>
        <v/>
      </c>
      <c r="W23" s="26">
        <f>W22+V23</f>
        <v/>
      </c>
    </row>
    <row r="24">
      <c r="A24" s="17" t="n">
        <v>22</v>
      </c>
      <c r="B24" s="17" t="inlineStr">
        <is>
          <t>2028-04</t>
        </is>
      </c>
      <c r="C24" s="26">
        <f>IF(A24&lt;'Fərziyyələr'!$B$25,0,IF(C23=0,'Fərziyyələr'!$B$3,C23*(1+'Fərziyyələr'!$B$4)))</f>
        <v/>
      </c>
      <c r="D24" s="26">
        <f>C24*'Fərziyyələr'!$B$5</f>
        <v/>
      </c>
      <c r="E24" s="26">
        <f>D24*'Fərziyyələr'!$B$6</f>
        <v/>
      </c>
      <c r="F24" s="26">
        <f>E24*'Fərziyyələr'!$B$7</f>
        <v/>
      </c>
      <c r="G24" s="26">
        <f>G23*(1-'Fərziyyələr'!$B$11)+C24*'Fərziyyələr'!$B$9*'Fərziyyələr'!$B$10</f>
        <v/>
      </c>
      <c r="H24" s="26">
        <f>G24*'Fərziyyələr'!$B$12</f>
        <v/>
      </c>
      <c r="I24" s="26">
        <f>IF(A24&lt;'Fərziyyələr'!$B$25,0,IF(I23=0,'Fərziyyələr'!$B$13,I23*(1+'Fərziyyələr'!$B$14)))</f>
        <v/>
      </c>
      <c r="J24" s="26">
        <f>I24*'Fərziyyələr'!$B$15</f>
        <v/>
      </c>
      <c r="K24" s="27">
        <f>F24+H24+J24</f>
        <v/>
      </c>
      <c r="L24" s="11" t="n">
        <v>12</v>
      </c>
      <c r="M24" s="26">
        <f>16100*(1+'Fərziyyələr'!$B$17)</f>
        <v/>
      </c>
      <c r="N24" s="26">
        <f>'Fərziyyələr'!$B$18+C24/10000*'Fərziyyələr'!$B$19</f>
        <v/>
      </c>
      <c r="O24" s="26">
        <f>L24*'Fərziyyələr'!$B$20</f>
        <v/>
      </c>
      <c r="P24" s="26">
        <f>MAX('Fərziyyələr'!$B$22,K24*'Fərziyyələr'!$B$21)</f>
        <v/>
      </c>
      <c r="Q24" s="26">
        <f>D24*'Fərziyyələr'!$B$8</f>
        <v/>
      </c>
      <c r="R24" s="26" t="n">
        <v>0</v>
      </c>
      <c r="S24" s="26">
        <f>'Fərziyyələr'!$B$23+300</f>
        <v/>
      </c>
      <c r="T24" s="26">
        <f>(E24+H24+I24)*'Fərziyyələr'!$B$16</f>
        <v/>
      </c>
      <c r="U24" s="27">
        <f>M24+N24+O24+P24+Q24+R24+S24+T24</f>
        <v/>
      </c>
      <c r="V24" s="26">
        <f>K24-U24</f>
        <v/>
      </c>
      <c r="W24" s="26">
        <f>W23+V24</f>
        <v/>
      </c>
    </row>
    <row r="25">
      <c r="A25" s="17" t="n">
        <v>23</v>
      </c>
      <c r="B25" s="17" t="inlineStr">
        <is>
          <t>2028-05</t>
        </is>
      </c>
      <c r="C25" s="26">
        <f>IF(A25&lt;'Fərziyyələr'!$B$25,0,IF(C24=0,'Fərziyyələr'!$B$3,C24*(1+'Fərziyyələr'!$B$4)))</f>
        <v/>
      </c>
      <c r="D25" s="26">
        <f>C25*'Fərziyyələr'!$B$5</f>
        <v/>
      </c>
      <c r="E25" s="26">
        <f>D25*'Fərziyyələr'!$B$6</f>
        <v/>
      </c>
      <c r="F25" s="26">
        <f>E25*'Fərziyyələr'!$B$7</f>
        <v/>
      </c>
      <c r="G25" s="26">
        <f>G24*(1-'Fərziyyələr'!$B$11)+C25*'Fərziyyələr'!$B$9*'Fərziyyələr'!$B$10</f>
        <v/>
      </c>
      <c r="H25" s="26">
        <f>G25*'Fərziyyələr'!$B$12</f>
        <v/>
      </c>
      <c r="I25" s="26">
        <f>IF(A25&lt;'Fərziyyələr'!$B$25,0,IF(I24=0,'Fərziyyələr'!$B$13,I24*(1+'Fərziyyələr'!$B$14)))</f>
        <v/>
      </c>
      <c r="J25" s="26">
        <f>I25*'Fərziyyələr'!$B$15</f>
        <v/>
      </c>
      <c r="K25" s="27">
        <f>F25+H25+J25</f>
        <v/>
      </c>
      <c r="L25" s="11" t="n">
        <v>12</v>
      </c>
      <c r="M25" s="26">
        <f>16100*(1+'Fərziyyələr'!$B$17)</f>
        <v/>
      </c>
      <c r="N25" s="26">
        <f>'Fərziyyələr'!$B$18+C25/10000*'Fərziyyələr'!$B$19</f>
        <v/>
      </c>
      <c r="O25" s="26">
        <f>L25*'Fərziyyələr'!$B$20</f>
        <v/>
      </c>
      <c r="P25" s="26">
        <f>MAX('Fərziyyələr'!$B$22,K25*'Fərziyyələr'!$B$21)</f>
        <v/>
      </c>
      <c r="Q25" s="26">
        <f>D25*'Fərziyyələr'!$B$8</f>
        <v/>
      </c>
      <c r="R25" s="26" t="n">
        <v>0</v>
      </c>
      <c r="S25" s="26">
        <f>'Fərziyyələr'!$B$23+300</f>
        <v/>
      </c>
      <c r="T25" s="26">
        <f>(E25+H25+I25)*'Fərziyyələr'!$B$16</f>
        <v/>
      </c>
      <c r="U25" s="27">
        <f>M25+N25+O25+P25+Q25+R25+S25+T25</f>
        <v/>
      </c>
      <c r="V25" s="26">
        <f>K25-U25</f>
        <v/>
      </c>
      <c r="W25" s="26">
        <f>W24+V25</f>
        <v/>
      </c>
    </row>
    <row r="26">
      <c r="A26" s="17" t="n">
        <v>24</v>
      </c>
      <c r="B26" s="17" t="inlineStr">
        <is>
          <t>2028-06</t>
        </is>
      </c>
      <c r="C26" s="26">
        <f>IF(A26&lt;'Fərziyyələr'!$B$25,0,IF(C25=0,'Fərziyyələr'!$B$3,C25*(1+'Fərziyyələr'!$B$4)))</f>
        <v/>
      </c>
      <c r="D26" s="26">
        <f>C26*'Fərziyyələr'!$B$5</f>
        <v/>
      </c>
      <c r="E26" s="26">
        <f>D26*'Fərziyyələr'!$B$6</f>
        <v/>
      </c>
      <c r="F26" s="26">
        <f>E26*'Fərziyyələr'!$B$7</f>
        <v/>
      </c>
      <c r="G26" s="26">
        <f>G25*(1-'Fərziyyələr'!$B$11)+C26*'Fərziyyələr'!$B$9*'Fərziyyələr'!$B$10</f>
        <v/>
      </c>
      <c r="H26" s="26">
        <f>G26*'Fərziyyələr'!$B$12</f>
        <v/>
      </c>
      <c r="I26" s="26">
        <f>IF(A26&lt;'Fərziyyələr'!$B$25,0,IF(I25=0,'Fərziyyələr'!$B$13,I25*(1+'Fərziyyələr'!$B$14)))</f>
        <v/>
      </c>
      <c r="J26" s="26">
        <f>I26*'Fərziyyələr'!$B$15</f>
        <v/>
      </c>
      <c r="K26" s="27">
        <f>F26+H26+J26</f>
        <v/>
      </c>
      <c r="L26" s="11" t="n">
        <v>12</v>
      </c>
      <c r="M26" s="26">
        <f>16100*(1+'Fərziyyələr'!$B$17)</f>
        <v/>
      </c>
      <c r="N26" s="26">
        <f>'Fərziyyələr'!$B$18+C26/10000*'Fərziyyələr'!$B$19</f>
        <v/>
      </c>
      <c r="O26" s="26">
        <f>L26*'Fərziyyələr'!$B$20</f>
        <v/>
      </c>
      <c r="P26" s="26">
        <f>MAX('Fərziyyələr'!$B$22,K26*'Fərziyyələr'!$B$21)</f>
        <v/>
      </c>
      <c r="Q26" s="26">
        <f>D26*'Fərziyyələr'!$B$8</f>
        <v/>
      </c>
      <c r="R26" s="26" t="n">
        <v>0</v>
      </c>
      <c r="S26" s="26">
        <f>'Fərziyyələr'!$B$23+300</f>
        <v/>
      </c>
      <c r="T26" s="26">
        <f>(E26+H26+I26)*'Fərziyyələr'!$B$16</f>
        <v/>
      </c>
      <c r="U26" s="27">
        <f>M26+N26+O26+P26+Q26+R26+S26+T26</f>
        <v/>
      </c>
      <c r="V26" s="26">
        <f>K26-U26</f>
        <v/>
      </c>
      <c r="W26" s="26">
        <f>W25+V26</f>
        <v/>
      </c>
    </row>
    <row r="27">
      <c r="A27" s="17" t="n">
        <v>25</v>
      </c>
      <c r="B27" s="17" t="inlineStr">
        <is>
          <t>2028-07</t>
        </is>
      </c>
      <c r="C27" s="26">
        <f>IF(A27&lt;'Fərziyyələr'!$B$25,0,IF(C26=0,'Fərziyyələr'!$B$3,C26*(1+'Fərziyyələr'!$B$4)))</f>
        <v/>
      </c>
      <c r="D27" s="26">
        <f>C27*'Fərziyyələr'!$B$5</f>
        <v/>
      </c>
      <c r="E27" s="26">
        <f>D27*'Fərziyyələr'!$B$6</f>
        <v/>
      </c>
      <c r="F27" s="26">
        <f>E27*'Fərziyyələr'!$B$7</f>
        <v/>
      </c>
      <c r="G27" s="26">
        <f>G26*(1-'Fərziyyələr'!$B$11)+C27*'Fərziyyələr'!$B$9*'Fərziyyələr'!$B$10</f>
        <v/>
      </c>
      <c r="H27" s="26">
        <f>G27*'Fərziyyələr'!$B$12</f>
        <v/>
      </c>
      <c r="I27" s="26">
        <f>IF(A27&lt;'Fərziyyələr'!$B$25,0,IF(I26=0,'Fərziyyələr'!$B$13,I26*(1+'Fərziyyələr'!$B$14)))</f>
        <v/>
      </c>
      <c r="J27" s="26">
        <f>I27*'Fərziyyələr'!$B$15</f>
        <v/>
      </c>
      <c r="K27" s="27">
        <f>F27+H27+J27</f>
        <v/>
      </c>
      <c r="L27" s="11" t="n">
        <v>13</v>
      </c>
      <c r="M27" s="26">
        <f>17600*(1+'Fərziyyələr'!$B$17)</f>
        <v/>
      </c>
      <c r="N27" s="26">
        <f>'Fərziyyələr'!$B$18+C27/10000*'Fərziyyələr'!$B$19</f>
        <v/>
      </c>
      <c r="O27" s="26">
        <f>L27*'Fərziyyələr'!$B$20</f>
        <v/>
      </c>
      <c r="P27" s="26">
        <f>MAX('Fərziyyələr'!$B$22,K27*'Fərziyyələr'!$B$21)</f>
        <v/>
      </c>
      <c r="Q27" s="26">
        <f>D27*'Fərziyyələr'!$B$8</f>
        <v/>
      </c>
      <c r="R27" s="26" t="n">
        <v>1100</v>
      </c>
      <c r="S27" s="26">
        <f>'Fərziyyələr'!$B$23+700</f>
        <v/>
      </c>
      <c r="T27" s="26">
        <f>(E27+H27+I27)*'Fərziyyələr'!$B$16</f>
        <v/>
      </c>
      <c r="U27" s="27">
        <f>M27+N27+O27+P27+Q27+R27+S27+T27</f>
        <v/>
      </c>
      <c r="V27" s="26">
        <f>K27-U27</f>
        <v/>
      </c>
      <c r="W27" s="26">
        <f>W26+V27</f>
        <v/>
      </c>
    </row>
    <row r="28">
      <c r="A28" s="17" t="n">
        <v>26</v>
      </c>
      <c r="B28" s="17" t="inlineStr">
        <is>
          <t>2028-08</t>
        </is>
      </c>
      <c r="C28" s="26">
        <f>IF(A28&lt;'Fərziyyələr'!$B$25,0,IF(C27=0,'Fərziyyələr'!$B$3,C27*(1+'Fərziyyələr'!$B$4)))</f>
        <v/>
      </c>
      <c r="D28" s="26">
        <f>C28*'Fərziyyələr'!$B$5</f>
        <v/>
      </c>
      <c r="E28" s="26">
        <f>D28*'Fərziyyələr'!$B$6</f>
        <v/>
      </c>
      <c r="F28" s="26">
        <f>E28*'Fərziyyələr'!$B$7</f>
        <v/>
      </c>
      <c r="G28" s="26">
        <f>G27*(1-'Fərziyyələr'!$B$11)+C28*'Fərziyyələr'!$B$9*'Fərziyyələr'!$B$10</f>
        <v/>
      </c>
      <c r="H28" s="26">
        <f>G28*'Fərziyyələr'!$B$12</f>
        <v/>
      </c>
      <c r="I28" s="26">
        <f>IF(A28&lt;'Fərziyyələr'!$B$25,0,IF(I27=0,'Fərziyyələr'!$B$13,I27*(1+'Fərziyyələr'!$B$14)))</f>
        <v/>
      </c>
      <c r="J28" s="26">
        <f>I28*'Fərziyyələr'!$B$15</f>
        <v/>
      </c>
      <c r="K28" s="27">
        <f>F28+H28+J28</f>
        <v/>
      </c>
      <c r="L28" s="11" t="n">
        <v>13</v>
      </c>
      <c r="M28" s="26">
        <f>17600*(1+'Fərziyyələr'!$B$17)</f>
        <v/>
      </c>
      <c r="N28" s="26">
        <f>'Fərziyyələr'!$B$18+C28/10000*'Fərziyyələr'!$B$19</f>
        <v/>
      </c>
      <c r="O28" s="26">
        <f>L28*'Fərziyyələr'!$B$20</f>
        <v/>
      </c>
      <c r="P28" s="26">
        <f>MAX('Fərziyyələr'!$B$22,K28*'Fərziyyələr'!$B$21)</f>
        <v/>
      </c>
      <c r="Q28" s="26">
        <f>D28*'Fərziyyələr'!$B$8</f>
        <v/>
      </c>
      <c r="R28" s="26" t="n">
        <v>0</v>
      </c>
      <c r="S28" s="26">
        <f>'Fərziyyələr'!$B$23+700</f>
        <v/>
      </c>
      <c r="T28" s="26">
        <f>(E28+H28+I28)*'Fərziyyələr'!$B$16</f>
        <v/>
      </c>
      <c r="U28" s="27">
        <f>M28+N28+O28+P28+Q28+R28+S28+T28</f>
        <v/>
      </c>
      <c r="V28" s="26">
        <f>K28-U28</f>
        <v/>
      </c>
      <c r="W28" s="26">
        <f>W27+V28</f>
        <v/>
      </c>
    </row>
    <row r="29">
      <c r="A29" s="17" t="n">
        <v>27</v>
      </c>
      <c r="B29" s="17" t="inlineStr">
        <is>
          <t>2028-09</t>
        </is>
      </c>
      <c r="C29" s="26">
        <f>IF(A29&lt;'Fərziyyələr'!$B$25,0,IF(C28=0,'Fərziyyələr'!$B$3,C28*(1+'Fərziyyələr'!$B$4)))</f>
        <v/>
      </c>
      <c r="D29" s="26">
        <f>C29*'Fərziyyələr'!$B$5</f>
        <v/>
      </c>
      <c r="E29" s="26">
        <f>D29*'Fərziyyələr'!$B$6</f>
        <v/>
      </c>
      <c r="F29" s="26">
        <f>E29*'Fərziyyələr'!$B$7</f>
        <v/>
      </c>
      <c r="G29" s="26">
        <f>G28*(1-'Fərziyyələr'!$B$11)+C29*'Fərziyyələr'!$B$9*'Fərziyyələr'!$B$10</f>
        <v/>
      </c>
      <c r="H29" s="26">
        <f>G29*'Fərziyyələr'!$B$12</f>
        <v/>
      </c>
      <c r="I29" s="26">
        <f>IF(A29&lt;'Fərziyyələr'!$B$25,0,IF(I28=0,'Fərziyyələr'!$B$13,I28*(1+'Fərziyyələr'!$B$14)))</f>
        <v/>
      </c>
      <c r="J29" s="26">
        <f>I29*'Fərziyyələr'!$B$15</f>
        <v/>
      </c>
      <c r="K29" s="27">
        <f>F29+H29+J29</f>
        <v/>
      </c>
      <c r="L29" s="11" t="n">
        <v>13</v>
      </c>
      <c r="M29" s="26">
        <f>17600*(1+'Fərziyyələr'!$B$17)</f>
        <v/>
      </c>
      <c r="N29" s="26">
        <f>'Fərziyyələr'!$B$18+C29/10000*'Fərziyyələr'!$B$19</f>
        <v/>
      </c>
      <c r="O29" s="26">
        <f>L29*'Fərziyyələr'!$B$20</f>
        <v/>
      </c>
      <c r="P29" s="26">
        <f>MAX('Fərziyyələr'!$B$22,K29*'Fərziyyələr'!$B$21)</f>
        <v/>
      </c>
      <c r="Q29" s="26">
        <f>D29*'Fərziyyələr'!$B$8</f>
        <v/>
      </c>
      <c r="R29" s="26" t="n">
        <v>0</v>
      </c>
      <c r="S29" s="26">
        <f>'Fərziyyələr'!$B$23+700</f>
        <v/>
      </c>
      <c r="T29" s="26">
        <f>(E29+H29+I29)*'Fərziyyələr'!$B$16</f>
        <v/>
      </c>
      <c r="U29" s="27">
        <f>M29+N29+O29+P29+Q29+R29+S29+T29</f>
        <v/>
      </c>
      <c r="V29" s="26">
        <f>K29-U29</f>
        <v/>
      </c>
      <c r="W29" s="26">
        <f>W28+V29</f>
        <v/>
      </c>
    </row>
    <row r="30">
      <c r="A30" s="17" t="n">
        <v>28</v>
      </c>
      <c r="B30" s="17" t="inlineStr">
        <is>
          <t>2028-10</t>
        </is>
      </c>
      <c r="C30" s="26">
        <f>IF(A30&lt;'Fərziyyələr'!$B$25,0,IF(C29=0,'Fərziyyələr'!$B$3,C29*(1+'Fərziyyələr'!$B$4)))</f>
        <v/>
      </c>
      <c r="D30" s="26">
        <f>C30*'Fərziyyələr'!$B$5</f>
        <v/>
      </c>
      <c r="E30" s="26">
        <f>D30*'Fərziyyələr'!$B$6</f>
        <v/>
      </c>
      <c r="F30" s="26">
        <f>E30*'Fərziyyələr'!$B$7</f>
        <v/>
      </c>
      <c r="G30" s="26">
        <f>G29*(1-'Fərziyyələr'!$B$11)+C30*'Fərziyyələr'!$B$9*'Fərziyyələr'!$B$10</f>
        <v/>
      </c>
      <c r="H30" s="26">
        <f>G30*'Fərziyyələr'!$B$12</f>
        <v/>
      </c>
      <c r="I30" s="26">
        <f>IF(A30&lt;'Fərziyyələr'!$B$25,0,IF(I29=0,'Fərziyyələr'!$B$13,I29*(1+'Fərziyyələr'!$B$14)))</f>
        <v/>
      </c>
      <c r="J30" s="26">
        <f>I30*'Fərziyyələr'!$B$15</f>
        <v/>
      </c>
      <c r="K30" s="27">
        <f>F30+H30+J30</f>
        <v/>
      </c>
      <c r="L30" s="11" t="n">
        <v>13</v>
      </c>
      <c r="M30" s="26">
        <f>17600*(1+'Fərziyyələr'!$B$17)</f>
        <v/>
      </c>
      <c r="N30" s="26">
        <f>'Fərziyyələr'!$B$18+C30/10000*'Fərziyyələr'!$B$19</f>
        <v/>
      </c>
      <c r="O30" s="26">
        <f>L30*'Fərziyyələr'!$B$20</f>
        <v/>
      </c>
      <c r="P30" s="26">
        <f>MAX('Fərziyyələr'!$B$22,K30*'Fərziyyələr'!$B$21)</f>
        <v/>
      </c>
      <c r="Q30" s="26">
        <f>D30*'Fərziyyələr'!$B$8</f>
        <v/>
      </c>
      <c r="R30" s="26" t="n">
        <v>0</v>
      </c>
      <c r="S30" s="26">
        <f>'Fərziyyələr'!$B$23+700</f>
        <v/>
      </c>
      <c r="T30" s="26">
        <f>(E30+H30+I30)*'Fərziyyələr'!$B$16</f>
        <v/>
      </c>
      <c r="U30" s="27">
        <f>M30+N30+O30+P30+Q30+R30+S30+T30</f>
        <v/>
      </c>
      <c r="V30" s="26">
        <f>K30-U30</f>
        <v/>
      </c>
      <c r="W30" s="26">
        <f>W29+V30</f>
        <v/>
      </c>
    </row>
    <row r="31">
      <c r="A31" s="17" t="n">
        <v>29</v>
      </c>
      <c r="B31" s="17" t="inlineStr">
        <is>
          <t>2028-11</t>
        </is>
      </c>
      <c r="C31" s="26">
        <f>IF(A31&lt;'Fərziyyələr'!$B$25,0,IF(C30=0,'Fərziyyələr'!$B$3,C30*(1+'Fərziyyələr'!$B$4)))</f>
        <v/>
      </c>
      <c r="D31" s="26">
        <f>C31*'Fərziyyələr'!$B$5</f>
        <v/>
      </c>
      <c r="E31" s="26">
        <f>D31*'Fərziyyələr'!$B$6</f>
        <v/>
      </c>
      <c r="F31" s="26">
        <f>E31*'Fərziyyələr'!$B$7</f>
        <v/>
      </c>
      <c r="G31" s="26">
        <f>G30*(1-'Fərziyyələr'!$B$11)+C31*'Fərziyyələr'!$B$9*'Fərziyyələr'!$B$10</f>
        <v/>
      </c>
      <c r="H31" s="26">
        <f>G31*'Fərziyyələr'!$B$12</f>
        <v/>
      </c>
      <c r="I31" s="26">
        <f>IF(A31&lt;'Fərziyyələr'!$B$25,0,IF(I30=0,'Fərziyyələr'!$B$13,I30*(1+'Fərziyyələr'!$B$14)))</f>
        <v/>
      </c>
      <c r="J31" s="26">
        <f>I31*'Fərziyyələr'!$B$15</f>
        <v/>
      </c>
      <c r="K31" s="27">
        <f>F31+H31+J31</f>
        <v/>
      </c>
      <c r="L31" s="11" t="n">
        <v>13</v>
      </c>
      <c r="M31" s="26">
        <f>17600*(1+'Fərziyyələr'!$B$17)</f>
        <v/>
      </c>
      <c r="N31" s="26">
        <f>'Fərziyyələr'!$B$18+C31/10000*'Fərziyyələr'!$B$19</f>
        <v/>
      </c>
      <c r="O31" s="26">
        <f>L31*'Fərziyyələr'!$B$20</f>
        <v/>
      </c>
      <c r="P31" s="26">
        <f>MAX('Fərziyyələr'!$B$22,K31*'Fərziyyələr'!$B$21)</f>
        <v/>
      </c>
      <c r="Q31" s="26">
        <f>D31*'Fərziyyələr'!$B$8</f>
        <v/>
      </c>
      <c r="R31" s="26" t="n">
        <v>0</v>
      </c>
      <c r="S31" s="26">
        <f>'Fərziyyələr'!$B$23+700</f>
        <v/>
      </c>
      <c r="T31" s="26">
        <f>(E31+H31+I31)*'Fərziyyələr'!$B$16</f>
        <v/>
      </c>
      <c r="U31" s="27">
        <f>M31+N31+O31+P31+Q31+R31+S31+T31</f>
        <v/>
      </c>
      <c r="V31" s="26">
        <f>K31-U31</f>
        <v/>
      </c>
      <c r="W31" s="26">
        <f>W30+V31</f>
        <v/>
      </c>
    </row>
    <row r="32">
      <c r="A32" s="17" t="n">
        <v>30</v>
      </c>
      <c r="B32" s="17" t="inlineStr">
        <is>
          <t>2028-12</t>
        </is>
      </c>
      <c r="C32" s="26">
        <f>IF(A32&lt;'Fərziyyələr'!$B$25,0,IF(C31=0,'Fərziyyələr'!$B$3,C31*(1+'Fərziyyələr'!$B$4)))</f>
        <v/>
      </c>
      <c r="D32" s="26">
        <f>C32*'Fərziyyələr'!$B$5</f>
        <v/>
      </c>
      <c r="E32" s="26">
        <f>D32*'Fərziyyələr'!$B$6</f>
        <v/>
      </c>
      <c r="F32" s="26">
        <f>E32*'Fərziyyələr'!$B$7</f>
        <v/>
      </c>
      <c r="G32" s="26">
        <f>G31*(1-'Fərziyyələr'!$B$11)+C32*'Fərziyyələr'!$B$9*'Fərziyyələr'!$B$10</f>
        <v/>
      </c>
      <c r="H32" s="26">
        <f>G32*'Fərziyyələr'!$B$12</f>
        <v/>
      </c>
      <c r="I32" s="26">
        <f>IF(A32&lt;'Fərziyyələr'!$B$25,0,IF(I31=0,'Fərziyyələr'!$B$13,I31*(1+'Fərziyyələr'!$B$14)))</f>
        <v/>
      </c>
      <c r="J32" s="26">
        <f>I32*'Fərziyyələr'!$B$15</f>
        <v/>
      </c>
      <c r="K32" s="27">
        <f>F32+H32+J32</f>
        <v/>
      </c>
      <c r="L32" s="11" t="n">
        <v>13</v>
      </c>
      <c r="M32" s="26">
        <f>17600*(1+'Fərziyyələr'!$B$17)</f>
        <v/>
      </c>
      <c r="N32" s="26">
        <f>'Fərziyyələr'!$B$18+C32/10000*'Fərziyyələr'!$B$19</f>
        <v/>
      </c>
      <c r="O32" s="26">
        <f>L32*'Fərziyyələr'!$B$20</f>
        <v/>
      </c>
      <c r="P32" s="26">
        <f>MAX('Fərziyyələr'!$B$22,K32*'Fərziyyələr'!$B$21)</f>
        <v/>
      </c>
      <c r="Q32" s="26">
        <f>D32*'Fərziyyələr'!$B$8</f>
        <v/>
      </c>
      <c r="R32" s="26" t="n">
        <v>0</v>
      </c>
      <c r="S32" s="26">
        <f>'Fərziyyələr'!$B$23+700</f>
        <v/>
      </c>
      <c r="T32" s="26">
        <f>(E32+H32+I32)*'Fərziyyələr'!$B$16</f>
        <v/>
      </c>
      <c r="U32" s="27">
        <f>M32+N32+O32+P32+Q32+R32+S32+T32</f>
        <v/>
      </c>
      <c r="V32" s="26">
        <f>K32-U32</f>
        <v/>
      </c>
      <c r="W32" s="26">
        <f>W31+V32</f>
        <v/>
      </c>
    </row>
    <row r="33">
      <c r="A33" s="17" t="n">
        <v>31</v>
      </c>
      <c r="B33" s="17" t="inlineStr">
        <is>
          <t>2029-01</t>
        </is>
      </c>
      <c r="C33" s="26">
        <f>IF(A33&lt;'Fərziyyələr'!$B$25,0,IF(C32=0,'Fərziyyələr'!$B$3,C32*(1+'Fərziyyələr'!$B$4)))</f>
        <v/>
      </c>
      <c r="D33" s="26">
        <f>C33*'Fərziyyələr'!$B$5</f>
        <v/>
      </c>
      <c r="E33" s="26">
        <f>D33*'Fərziyyələr'!$B$6</f>
        <v/>
      </c>
      <c r="F33" s="26">
        <f>E33*'Fərziyyələr'!$B$7</f>
        <v/>
      </c>
      <c r="G33" s="26">
        <f>G32*(1-'Fərziyyələr'!$B$11)+C33*'Fərziyyələr'!$B$9*'Fərziyyələr'!$B$10</f>
        <v/>
      </c>
      <c r="H33" s="26">
        <f>G33*'Fərziyyələr'!$B$12</f>
        <v/>
      </c>
      <c r="I33" s="26">
        <f>IF(A33&lt;'Fərziyyələr'!$B$25,0,IF(I32=0,'Fərziyyələr'!$B$13,I32*(1+'Fərziyyələr'!$B$14)))</f>
        <v/>
      </c>
      <c r="J33" s="26">
        <f>I33*'Fərziyyələr'!$B$15</f>
        <v/>
      </c>
      <c r="K33" s="27">
        <f>F33+H33+J33</f>
        <v/>
      </c>
      <c r="L33" s="11" t="n">
        <v>13</v>
      </c>
      <c r="M33" s="26">
        <f>17600*(1+'Fərziyyələr'!$B$17)</f>
        <v/>
      </c>
      <c r="N33" s="26">
        <f>'Fərziyyələr'!$B$18+C33/10000*'Fərziyyələr'!$B$19</f>
        <v/>
      </c>
      <c r="O33" s="26">
        <f>L33*'Fərziyyələr'!$B$20</f>
        <v/>
      </c>
      <c r="P33" s="26">
        <f>MAX('Fərziyyələr'!$B$22,K33*'Fərziyyələr'!$B$21)</f>
        <v/>
      </c>
      <c r="Q33" s="26">
        <f>D33*'Fərziyyələr'!$B$8</f>
        <v/>
      </c>
      <c r="R33" s="26" t="n">
        <v>0</v>
      </c>
      <c r="S33" s="26">
        <f>'Fərziyyələr'!$B$23+700</f>
        <v/>
      </c>
      <c r="T33" s="26">
        <f>(E33+H33+I33)*'Fərziyyələr'!$B$16</f>
        <v/>
      </c>
      <c r="U33" s="27">
        <f>M33+N33+O33+P33+Q33+R33+S33+T33</f>
        <v/>
      </c>
      <c r="V33" s="26">
        <f>K33-U33</f>
        <v/>
      </c>
      <c r="W33" s="26">
        <f>W32+V33</f>
        <v/>
      </c>
    </row>
    <row r="34">
      <c r="A34" s="17" t="n">
        <v>32</v>
      </c>
      <c r="B34" s="17" t="inlineStr">
        <is>
          <t>2029-02</t>
        </is>
      </c>
      <c r="C34" s="26">
        <f>IF(A34&lt;'Fərziyyələr'!$B$25,0,IF(C33=0,'Fərziyyələr'!$B$3,C33*(1+'Fərziyyələr'!$B$4)))</f>
        <v/>
      </c>
      <c r="D34" s="26">
        <f>C34*'Fərziyyələr'!$B$5</f>
        <v/>
      </c>
      <c r="E34" s="26">
        <f>D34*'Fərziyyələr'!$B$6</f>
        <v/>
      </c>
      <c r="F34" s="26">
        <f>E34*'Fərziyyələr'!$B$7</f>
        <v/>
      </c>
      <c r="G34" s="26">
        <f>G33*(1-'Fərziyyələr'!$B$11)+C34*'Fərziyyələr'!$B$9*'Fərziyyələr'!$B$10</f>
        <v/>
      </c>
      <c r="H34" s="26">
        <f>G34*'Fərziyyələr'!$B$12</f>
        <v/>
      </c>
      <c r="I34" s="26">
        <f>IF(A34&lt;'Fərziyyələr'!$B$25,0,IF(I33=0,'Fərziyyələr'!$B$13,I33*(1+'Fərziyyələr'!$B$14)))</f>
        <v/>
      </c>
      <c r="J34" s="26">
        <f>I34*'Fərziyyələr'!$B$15</f>
        <v/>
      </c>
      <c r="K34" s="27">
        <f>F34+H34+J34</f>
        <v/>
      </c>
      <c r="L34" s="11" t="n">
        <v>13</v>
      </c>
      <c r="M34" s="26">
        <f>17600*(1+'Fərziyyələr'!$B$17)</f>
        <v/>
      </c>
      <c r="N34" s="26">
        <f>'Fərziyyələr'!$B$18+C34/10000*'Fərziyyələr'!$B$19</f>
        <v/>
      </c>
      <c r="O34" s="26">
        <f>L34*'Fərziyyələr'!$B$20</f>
        <v/>
      </c>
      <c r="P34" s="26">
        <f>MAX('Fərziyyələr'!$B$22,K34*'Fərziyyələr'!$B$21)</f>
        <v/>
      </c>
      <c r="Q34" s="26">
        <f>D34*'Fərziyyələr'!$B$8</f>
        <v/>
      </c>
      <c r="R34" s="26" t="n">
        <v>0</v>
      </c>
      <c r="S34" s="26">
        <f>'Fərziyyələr'!$B$23+700</f>
        <v/>
      </c>
      <c r="T34" s="26">
        <f>(E34+H34+I34)*'Fərziyyələr'!$B$16</f>
        <v/>
      </c>
      <c r="U34" s="27">
        <f>M34+N34+O34+P34+Q34+R34+S34+T34</f>
        <v/>
      </c>
      <c r="V34" s="26">
        <f>K34-U34</f>
        <v/>
      </c>
      <c r="W34" s="26">
        <f>W33+V34</f>
        <v/>
      </c>
    </row>
    <row r="35">
      <c r="A35" s="17" t="n">
        <v>33</v>
      </c>
      <c r="B35" s="17" t="inlineStr">
        <is>
          <t>2029-03</t>
        </is>
      </c>
      <c r="C35" s="26">
        <f>IF(A35&lt;'Fərziyyələr'!$B$25,0,IF(C34=0,'Fərziyyələr'!$B$3,C34*(1+'Fərziyyələr'!$B$4)))</f>
        <v/>
      </c>
      <c r="D35" s="26">
        <f>C35*'Fərziyyələr'!$B$5</f>
        <v/>
      </c>
      <c r="E35" s="26">
        <f>D35*'Fərziyyələr'!$B$6</f>
        <v/>
      </c>
      <c r="F35" s="26">
        <f>E35*'Fərziyyələr'!$B$7</f>
        <v/>
      </c>
      <c r="G35" s="26">
        <f>G34*(1-'Fərziyyələr'!$B$11)+C35*'Fərziyyələr'!$B$9*'Fərziyyələr'!$B$10</f>
        <v/>
      </c>
      <c r="H35" s="26">
        <f>G35*'Fərziyyələr'!$B$12</f>
        <v/>
      </c>
      <c r="I35" s="26">
        <f>IF(A35&lt;'Fərziyyələr'!$B$25,0,IF(I34=0,'Fərziyyələr'!$B$13,I34*(1+'Fərziyyələr'!$B$14)))</f>
        <v/>
      </c>
      <c r="J35" s="26">
        <f>I35*'Fərziyyələr'!$B$15</f>
        <v/>
      </c>
      <c r="K35" s="27">
        <f>F35+H35+J35</f>
        <v/>
      </c>
      <c r="L35" s="11" t="n">
        <v>13</v>
      </c>
      <c r="M35" s="26">
        <f>17600*(1+'Fərziyyələr'!$B$17)</f>
        <v/>
      </c>
      <c r="N35" s="26">
        <f>'Fərziyyələr'!$B$18+C35/10000*'Fərziyyələr'!$B$19</f>
        <v/>
      </c>
      <c r="O35" s="26">
        <f>L35*'Fərziyyələr'!$B$20</f>
        <v/>
      </c>
      <c r="P35" s="26">
        <f>MAX('Fərziyyələr'!$B$22,K35*'Fərziyyələr'!$B$21)</f>
        <v/>
      </c>
      <c r="Q35" s="26">
        <f>D35*'Fərziyyələr'!$B$8</f>
        <v/>
      </c>
      <c r="R35" s="26" t="n">
        <v>0</v>
      </c>
      <c r="S35" s="26">
        <f>'Fərziyyələr'!$B$23+700</f>
        <v/>
      </c>
      <c r="T35" s="26">
        <f>(E35+H35+I35)*'Fərziyyələr'!$B$16</f>
        <v/>
      </c>
      <c r="U35" s="27">
        <f>M35+N35+O35+P35+Q35+R35+S35+T35</f>
        <v/>
      </c>
      <c r="V35" s="26">
        <f>K35-U35</f>
        <v/>
      </c>
      <c r="W35" s="26">
        <f>W34+V35</f>
        <v/>
      </c>
    </row>
    <row r="36">
      <c r="A36" s="17" t="n">
        <v>34</v>
      </c>
      <c r="B36" s="17" t="inlineStr">
        <is>
          <t>2029-04</t>
        </is>
      </c>
      <c r="C36" s="26">
        <f>IF(A36&lt;'Fərziyyələr'!$B$25,0,IF(C35=0,'Fərziyyələr'!$B$3,C35*(1+'Fərziyyələr'!$B$4)))</f>
        <v/>
      </c>
      <c r="D36" s="26">
        <f>C36*'Fərziyyələr'!$B$5</f>
        <v/>
      </c>
      <c r="E36" s="26">
        <f>D36*'Fərziyyələr'!$B$6</f>
        <v/>
      </c>
      <c r="F36" s="26">
        <f>E36*'Fərziyyələr'!$B$7</f>
        <v/>
      </c>
      <c r="G36" s="26">
        <f>G35*(1-'Fərziyyələr'!$B$11)+C36*'Fərziyyələr'!$B$9*'Fərziyyələr'!$B$10</f>
        <v/>
      </c>
      <c r="H36" s="26">
        <f>G36*'Fərziyyələr'!$B$12</f>
        <v/>
      </c>
      <c r="I36" s="26">
        <f>IF(A36&lt;'Fərziyyələr'!$B$25,0,IF(I35=0,'Fərziyyələr'!$B$13,I35*(1+'Fərziyyələr'!$B$14)))</f>
        <v/>
      </c>
      <c r="J36" s="26">
        <f>I36*'Fərziyyələr'!$B$15</f>
        <v/>
      </c>
      <c r="K36" s="27">
        <f>F36+H36+J36</f>
        <v/>
      </c>
      <c r="L36" s="11" t="n">
        <v>13</v>
      </c>
      <c r="M36" s="26">
        <f>17600*(1+'Fərziyyələr'!$B$17)</f>
        <v/>
      </c>
      <c r="N36" s="26">
        <f>'Fərziyyələr'!$B$18+C36/10000*'Fərziyyələr'!$B$19</f>
        <v/>
      </c>
      <c r="O36" s="26">
        <f>L36*'Fərziyyələr'!$B$20</f>
        <v/>
      </c>
      <c r="P36" s="26">
        <f>MAX('Fərziyyələr'!$B$22,K36*'Fərziyyələr'!$B$21)</f>
        <v/>
      </c>
      <c r="Q36" s="26">
        <f>D36*'Fərziyyələr'!$B$8</f>
        <v/>
      </c>
      <c r="R36" s="26" t="n">
        <v>0</v>
      </c>
      <c r="S36" s="26">
        <f>'Fərziyyələr'!$B$23+700</f>
        <v/>
      </c>
      <c r="T36" s="26">
        <f>(E36+H36+I36)*'Fərziyyələr'!$B$16</f>
        <v/>
      </c>
      <c r="U36" s="27">
        <f>M36+N36+O36+P36+Q36+R36+S36+T36</f>
        <v/>
      </c>
      <c r="V36" s="26">
        <f>K36-U36</f>
        <v/>
      </c>
      <c r="W36" s="26">
        <f>W35+V36</f>
        <v/>
      </c>
    </row>
    <row r="37">
      <c r="A37" s="17" t="n">
        <v>35</v>
      </c>
      <c r="B37" s="17" t="inlineStr">
        <is>
          <t>2029-05</t>
        </is>
      </c>
      <c r="C37" s="26">
        <f>IF(A37&lt;'Fərziyyələr'!$B$25,0,IF(C36=0,'Fərziyyələr'!$B$3,C36*(1+'Fərziyyələr'!$B$4)))</f>
        <v/>
      </c>
      <c r="D37" s="26">
        <f>C37*'Fərziyyələr'!$B$5</f>
        <v/>
      </c>
      <c r="E37" s="26">
        <f>D37*'Fərziyyələr'!$B$6</f>
        <v/>
      </c>
      <c r="F37" s="26">
        <f>E37*'Fərziyyələr'!$B$7</f>
        <v/>
      </c>
      <c r="G37" s="26">
        <f>G36*(1-'Fərziyyələr'!$B$11)+C37*'Fərziyyələr'!$B$9*'Fərziyyələr'!$B$10</f>
        <v/>
      </c>
      <c r="H37" s="26">
        <f>G37*'Fərziyyələr'!$B$12</f>
        <v/>
      </c>
      <c r="I37" s="26">
        <f>IF(A37&lt;'Fərziyyələr'!$B$25,0,IF(I36=0,'Fərziyyələr'!$B$13,I36*(1+'Fərziyyələr'!$B$14)))</f>
        <v/>
      </c>
      <c r="J37" s="26">
        <f>I37*'Fərziyyələr'!$B$15</f>
        <v/>
      </c>
      <c r="K37" s="27">
        <f>F37+H37+J37</f>
        <v/>
      </c>
      <c r="L37" s="11" t="n">
        <v>13</v>
      </c>
      <c r="M37" s="26">
        <f>17600*(1+'Fərziyyələr'!$B$17)</f>
        <v/>
      </c>
      <c r="N37" s="26">
        <f>'Fərziyyələr'!$B$18+C37/10000*'Fərziyyələr'!$B$19</f>
        <v/>
      </c>
      <c r="O37" s="26">
        <f>L37*'Fərziyyələr'!$B$20</f>
        <v/>
      </c>
      <c r="P37" s="26">
        <f>MAX('Fərziyyələr'!$B$22,K37*'Fərziyyələr'!$B$21)</f>
        <v/>
      </c>
      <c r="Q37" s="26">
        <f>D37*'Fərziyyələr'!$B$8</f>
        <v/>
      </c>
      <c r="R37" s="26" t="n">
        <v>0</v>
      </c>
      <c r="S37" s="26">
        <f>'Fərziyyələr'!$B$23+700</f>
        <v/>
      </c>
      <c r="T37" s="26">
        <f>(E37+H37+I37)*'Fərziyyələr'!$B$16</f>
        <v/>
      </c>
      <c r="U37" s="27">
        <f>M37+N37+O37+P37+Q37+R37+S37+T37</f>
        <v/>
      </c>
      <c r="V37" s="26">
        <f>K37-U37</f>
        <v/>
      </c>
      <c r="W37" s="26">
        <f>W36+V37</f>
        <v/>
      </c>
    </row>
    <row r="38">
      <c r="A38" s="28" t="n">
        <v>36</v>
      </c>
      <c r="B38" s="28" t="inlineStr">
        <is>
          <t>2029-06</t>
        </is>
      </c>
      <c r="C38" s="29">
        <f>IF(A38&lt;'Fərziyyələr'!$B$25,0,IF(C37=0,'Fərziyyələr'!$B$3,C37*(1+'Fərziyyələr'!$B$4)))</f>
        <v/>
      </c>
      <c r="D38" s="29">
        <f>C38*'Fərziyyələr'!$B$5</f>
        <v/>
      </c>
      <c r="E38" s="29">
        <f>D38*'Fərziyyələr'!$B$6</f>
        <v/>
      </c>
      <c r="F38" s="29">
        <f>E38*'Fərziyyələr'!$B$7</f>
        <v/>
      </c>
      <c r="G38" s="29">
        <f>G37*(1-'Fərziyyələr'!$B$11)+C38*'Fərziyyələr'!$B$9*'Fərziyyələr'!$B$10</f>
        <v/>
      </c>
      <c r="H38" s="29">
        <f>G38*'Fərziyyələr'!$B$12</f>
        <v/>
      </c>
      <c r="I38" s="29">
        <f>IF(A38&lt;'Fərziyyələr'!$B$25,0,IF(I37=0,'Fərziyyələr'!$B$13,I37*(1+'Fərziyyələr'!$B$14)))</f>
        <v/>
      </c>
      <c r="J38" s="29">
        <f>I38*'Fərziyyələr'!$B$15</f>
        <v/>
      </c>
      <c r="K38" s="30">
        <f>F38+H38+J38</f>
        <v/>
      </c>
      <c r="L38" s="31" t="n">
        <v>13</v>
      </c>
      <c r="M38" s="29">
        <f>17600*(1+'Fərziyyələr'!$B$17)</f>
        <v/>
      </c>
      <c r="N38" s="29">
        <f>'Fərziyyələr'!$B$18+C38/10000*'Fərziyyələr'!$B$19</f>
        <v/>
      </c>
      <c r="O38" s="29">
        <f>L38*'Fərziyyələr'!$B$20</f>
        <v/>
      </c>
      <c r="P38" s="29">
        <f>MAX('Fərziyyələr'!$B$22,K38*'Fərziyyələr'!$B$21)</f>
        <v/>
      </c>
      <c r="Q38" s="29">
        <f>D38*'Fərziyyələr'!$B$8</f>
        <v/>
      </c>
      <c r="R38" s="29" t="n">
        <v>0</v>
      </c>
      <c r="S38" s="29">
        <f>'Fərziyyələr'!$B$23+700</f>
        <v/>
      </c>
      <c r="T38" s="29">
        <f>(E38+H38+I38)*'Fərziyyələr'!$B$16</f>
        <v/>
      </c>
      <c r="U38" s="30">
        <f>M38+N38+O38+P38+Q38+R38+S38+T38</f>
        <v/>
      </c>
      <c r="V38" s="29">
        <f>K38-U38</f>
        <v/>
      </c>
      <c r="W38" s="29">
        <f>W37+V38</f>
        <v/>
      </c>
    </row>
    <row r="39">
      <c r="A39" s="32" t="n"/>
      <c r="B39" s="4" t="inlineStr">
        <is>
          <t>36 AY CƏMİ</t>
        </is>
      </c>
      <c r="C39" s="32" t="n"/>
      <c r="D39" s="32" t="n"/>
      <c r="E39" s="32" t="n"/>
      <c r="F39" s="32" t="n"/>
      <c r="G39" s="32" t="n"/>
      <c r="H39" s="32" t="n"/>
      <c r="I39" s="32" t="n"/>
      <c r="J39" s="32" t="n"/>
      <c r="K39" s="33">
        <f>SUM(K3:K38)</f>
        <v/>
      </c>
      <c r="L39" s="32" t="n"/>
      <c r="M39" s="32" t="n"/>
      <c r="N39" s="32" t="n"/>
      <c r="O39" s="32" t="n"/>
      <c r="P39" s="32" t="n"/>
      <c r="Q39" s="32" t="n"/>
      <c r="R39" s="32" t="n"/>
      <c r="S39" s="32" t="n"/>
      <c r="T39" s="32" t="n"/>
      <c r="U39" s="33">
        <f>SUM(U3:U38)</f>
        <v/>
      </c>
      <c r="V39" s="33">
        <f>SUM(V3:V38)</f>
        <v/>
      </c>
      <c r="W39" s="32" t="n"/>
    </row>
  </sheetData>
  <mergeCells count="1">
    <mergeCell ref="A1:W1"/>
  </mergeCells>
  <conditionalFormatting sqref="V3:W38">
    <cfRule type="cellIs" priority="1" operator="lessThan" dxfId="0">
      <formula>0</formula>
    </cfRule>
  </conditionalFormatting>
  <conditionalFormatting sqref="V3:V38">
    <cfRule type="cellIs" priority="2" operator="greaterThanOrEqual" dxfId="1">
      <formula>0</formula>
    </cfRule>
  </conditionalFormatting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13"/>
  <sheetViews>
    <sheetView showGridLines="0" workbookViewId="0">
      <selection activeCell="A1" sqref="A1"/>
    </sheetView>
  </sheetViews>
  <sheetFormatPr baseColWidth="8" defaultRowHeight="15"/>
  <cols>
    <col width="32" customWidth="1" min="1" max="1"/>
    <col width="15" customWidth="1" min="2" max="2"/>
    <col width="15" customWidth="1" min="3" max="3"/>
    <col width="15" customWidth="1" min="4" max="4"/>
    <col width="15" customWidth="1" min="5" max="5"/>
  </cols>
  <sheetData>
    <row r="1" ht="26" customHeight="1">
      <c r="A1" s="1" t="inlineStr">
        <is>
          <t>İLLİK XÜLASƏ (USD)</t>
        </is>
      </c>
    </row>
    <row r="2">
      <c r="A2" s="7" t="inlineStr">
        <is>
          <t>Göstərici</t>
        </is>
      </c>
      <c r="B2" s="7" t="inlineStr">
        <is>
          <t>İl 1</t>
        </is>
      </c>
      <c r="C2" s="7" t="inlineStr">
        <is>
          <t>İl 2</t>
        </is>
      </c>
      <c r="D2" s="7" t="inlineStr">
        <is>
          <t>İl 3</t>
        </is>
      </c>
      <c r="E2" s="7" t="inlineStr">
        <is>
          <t>3 İL CƏMİ</t>
        </is>
      </c>
    </row>
    <row r="3">
      <c r="A3" s="10" t="inlineStr">
        <is>
          <t>İstehsal gəliri (marja)</t>
        </is>
      </c>
      <c r="B3" s="8">
        <f>SUM('36 Aylıq Maliyyə'!F3:F14)</f>
        <v/>
      </c>
      <c r="C3" s="8">
        <f>SUM('36 Aylıq Maliyyə'!F15:F26)</f>
        <v/>
      </c>
      <c r="D3" s="8">
        <f>SUM('36 Aylıq Maliyyə'!F27:F38)</f>
        <v/>
      </c>
      <c r="E3" s="34">
        <f>SUM(B3:D3)</f>
        <v/>
      </c>
    </row>
    <row r="4">
      <c r="A4" s="10" t="inlineStr">
        <is>
          <t>Abunə gəliri</t>
        </is>
      </c>
      <c r="B4" s="8">
        <f>SUM('36 Aylıq Maliyyə'!H3:H14)</f>
        <v/>
      </c>
      <c r="C4" s="8">
        <f>SUM('36 Aylıq Maliyyə'!H15:H26)</f>
        <v/>
      </c>
      <c r="D4" s="8">
        <f>SUM('36 Aylıq Maliyyə'!H27:H38)</f>
        <v/>
      </c>
      <c r="E4" s="34">
        <f>SUM(B4:D4)</f>
        <v/>
      </c>
    </row>
    <row r="5">
      <c r="A5" s="10" t="inlineStr">
        <is>
          <t>Dizayn komissiya</t>
        </is>
      </c>
      <c r="B5" s="8">
        <f>SUM('36 Aylıq Maliyyə'!J3:J14)</f>
        <v/>
      </c>
      <c r="C5" s="8">
        <f>SUM('36 Aylıq Maliyyə'!J15:J26)</f>
        <v/>
      </c>
      <c r="D5" s="8">
        <f>SUM('36 Aylıq Maliyyə'!J27:J38)</f>
        <v/>
      </c>
      <c r="E5" s="34">
        <f>SUM(B5:D5)</f>
        <v/>
      </c>
    </row>
    <row r="6">
      <c r="A6" s="4" t="inlineStr">
        <is>
          <t>ÜMUMİ GƏLİR</t>
        </is>
      </c>
      <c r="B6" s="9">
        <f>SUM('36 Aylıq Maliyyə'!K3:K14)</f>
        <v/>
      </c>
      <c r="C6" s="9">
        <f>SUM('36 Aylıq Maliyyə'!K15:K26)</f>
        <v/>
      </c>
      <c r="D6" s="9">
        <f>SUM('36 Aylıq Maliyyə'!K27:K38)</f>
        <v/>
      </c>
      <c r="E6" s="34">
        <f>SUM(B6:D6)</f>
        <v/>
      </c>
    </row>
    <row r="7">
      <c r="A7" s="10" t="inlineStr">
        <is>
          <t>Maaş+vergi</t>
        </is>
      </c>
      <c r="B7" s="8">
        <f>SUM('36 Aylıq Maliyyə'!M3:M14)</f>
        <v/>
      </c>
      <c r="C7" s="8">
        <f>SUM('36 Aylıq Maliyyə'!M15:M26)</f>
        <v/>
      </c>
      <c r="D7" s="8">
        <f>SUM('36 Aylıq Maliyyə'!M27:M38)</f>
        <v/>
      </c>
      <c r="E7" s="34">
        <f>SUM(B7:D7)</f>
        <v/>
      </c>
    </row>
    <row r="8">
      <c r="A8" s="10" t="inlineStr">
        <is>
          <t>Marketinq</t>
        </is>
      </c>
      <c r="B8" s="8">
        <f>SUM('36 Aylıq Maliyyə'!P3:P14)</f>
        <v/>
      </c>
      <c r="C8" s="8">
        <f>SUM('36 Aylıq Maliyyə'!P15:P26)</f>
        <v/>
      </c>
      <c r="D8" s="8">
        <f>SUM('36 Aylıq Maliyyə'!P27:P38)</f>
        <v/>
      </c>
      <c r="E8" s="34">
        <f>SUM(B8:D8)</f>
        <v/>
      </c>
    </row>
    <row r="9">
      <c r="A9" s="10" t="inlineStr">
        <is>
          <t>Sifariş ops</t>
        </is>
      </c>
      <c r="B9" s="8">
        <f>SUM('36 Aylıq Maliyyə'!Q3:Q14)</f>
        <v/>
      </c>
      <c r="C9" s="8">
        <f>SUM('36 Aylıq Maliyyə'!Q15:Q26)</f>
        <v/>
      </c>
      <c r="D9" s="8">
        <f>SUM('36 Aylıq Maliyyə'!Q27:Q38)</f>
        <v/>
      </c>
      <c r="E9" s="34">
        <f>SUM(B9:D9)</f>
        <v/>
      </c>
    </row>
    <row r="10">
      <c r="A10" s="4" t="inlineStr">
        <is>
          <t>ÜMUMİ XƏRC</t>
        </is>
      </c>
      <c r="B10" s="9">
        <f>SUM('36 Aylıq Maliyyə'!U3:U14)</f>
        <v/>
      </c>
      <c r="C10" s="9">
        <f>SUM('36 Aylıq Maliyyə'!U15:U26)</f>
        <v/>
      </c>
      <c r="D10" s="9">
        <f>SUM('36 Aylıq Maliyyə'!U27:U38)</f>
        <v/>
      </c>
      <c r="E10" s="34">
        <f>SUM(B10:D10)</f>
        <v/>
      </c>
    </row>
    <row r="11">
      <c r="A11" s="4" t="inlineStr">
        <is>
          <t>NET nəticə</t>
        </is>
      </c>
      <c r="B11" s="9">
        <f>SUM('36 Aylıq Maliyyə'!V3:V14)</f>
        <v/>
      </c>
      <c r="C11" s="9">
        <f>SUM('36 Aylıq Maliyyə'!V15:V26)</f>
        <v/>
      </c>
      <c r="D11" s="9">
        <f>SUM('36 Aylıq Maliyyə'!V27:V38)</f>
        <v/>
      </c>
      <c r="E11" s="34">
        <f>SUM(B11:D11)</f>
        <v/>
      </c>
    </row>
    <row r="12">
      <c r="A12" s="4" t="inlineStr">
        <is>
          <t>İl sonu yığılmış kassa</t>
        </is>
      </c>
      <c r="B12" s="35">
        <f>'36 Aylıq Maliyyə'!W14</f>
        <v/>
      </c>
      <c r="C12" s="35">
        <f>'36 Aylıq Maliyyə'!W26</f>
        <v/>
      </c>
      <c r="D12" s="35">
        <f>'36 Aylıq Maliyyə'!W38</f>
        <v/>
      </c>
      <c r="E12" s="32" t="n"/>
    </row>
    <row r="13">
      <c r="A13" s="4" t="inlineStr">
        <is>
          <t>İl sonu komanda (nəfər)</t>
        </is>
      </c>
      <c r="B13" s="36">
        <f>'36 Aylıq Maliyyə'!L14</f>
        <v/>
      </c>
      <c r="C13" s="36">
        <f>'36 Aylıq Maliyyə'!L26</f>
        <v/>
      </c>
      <c r="D13" s="36">
        <f>'36 Aylıq Maliyyə'!L38</f>
        <v/>
      </c>
      <c r="E13" s="32" t="n"/>
    </row>
  </sheetData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2026-06-10T06:20:35Z</dcterms:created>
  <dcterms:modified xmlns:dcterms="http://purl.org/dc/terms/" xmlns:xsi="http://www.w3.org/2001/XMLSchema-instance" xsi:type="dcterms:W3CDTF">2026-06-10T06:20:35Z</dcterms:modified>
</cp:coreProperties>
</file>